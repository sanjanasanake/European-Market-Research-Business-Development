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Scoring Master" sheetId="1" state="visible" r:id="rId3"/>
    <sheet name="Pipeline Dashboard" sheetId="2" state="visible" r:id="rId4"/>
    <sheet name="Top 10 Short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<sst xmlns="http://schemas.openxmlformats.org/spreadsheetml/2006/main" count="582" uniqueCount="400">
  <si>
    <t xml:space="preserve">Latvia Manufacturing Market Entry — Lead Scoring Master</t>
  </si>
  <si>
    <t xml:space="preserve">Scoring rubric (100 pts): Industry Fit 20 | Hiring Signal 20 | Website/Digital 15 | Contact Quality 15 | International/Export 15 | Company Size 15</t>
  </si>
  <si>
    <t xml:space="preserve">Sr No</t>
  </si>
  <si>
    <t xml:space="preserve">Company</t>
  </si>
  <si>
    <t xml:space="preserve">Job Profile / Role Sourced</t>
  </si>
  <si>
    <t xml:space="preserve">Website</t>
  </si>
  <si>
    <t xml:space="preserve">City</t>
  </si>
  <si>
    <t xml:space="preserve">Industry / Segment</t>
  </si>
  <si>
    <t xml:space="preserve">Industry Fit (20)</t>
  </si>
  <si>
    <t xml:space="preserve">Hiring Signal (20)</t>
  </si>
  <si>
    <t xml:space="preserve">Website/Digital (15)</t>
  </si>
  <si>
    <t xml:space="preserve">Contact Quality (15)</t>
  </si>
  <si>
    <t xml:space="preserve">International/Export (15)</t>
  </si>
  <si>
    <t xml:space="preserve">Company Size (15)</t>
  </si>
  <si>
    <t xml:space="preserve">Likely Decision-Maker</t>
  </si>
  <si>
    <t xml:space="preserve">Best Outreach Channel</t>
  </si>
  <si>
    <t xml:space="preserve">Analyst Note</t>
  </si>
  <si>
    <t xml:space="preserve">Total Score (100)</t>
  </si>
  <si>
    <t xml:space="preserve">Category</t>
  </si>
  <si>
    <t xml:space="preserve">2</t>
  </si>
  <si>
    <t xml:space="preserve">LSEZ "Jensen Metal" SIA</t>
  </si>
  <si>
    <t xml:space="preserve">Metal Materials Welder</t>
  </si>
  <si>
    <t xml:space="preserve">jensenmetal.eu</t>
  </si>
  <si>
    <t xml:space="preserve">Liepāja</t>
  </si>
  <si>
    <t xml:space="preserve">Metal Fabrication (Liepāja Special Economic Zone)</t>
  </si>
  <si>
    <t xml:space="preserve">Evija Feierābende – HR/Office Contact</t>
  </si>
  <si>
    <t xml:space="preserve">LinkedIn</t>
  </si>
  <si>
    <t xml:space="preserve">SEZ resident company; dedicated careers page; named HR contact with public LinkedIn profile.</t>
  </si>
  <si>
    <t xml:space="preserve">3</t>
  </si>
  <si>
    <t xml:space="preserve">SIA "SteelRise"</t>
  </si>
  <si>
    <t xml:space="preserve">N/A</t>
  </si>
  <si>
    <t xml:space="preserve">Stopiņu nov. / Cēsis</t>
  </si>
  <si>
    <t xml:space="preserve">Metal Fabrication</t>
  </si>
  <si>
    <t xml:space="preserve">Galina Pokumeiko – Contact</t>
  </si>
  <si>
    <t xml:space="preserve">Phone</t>
  </si>
  <si>
    <t xml:space="preserve">No website; personal inbox.lv email domain signals very small / informal operation.</t>
  </si>
  <si>
    <t xml:space="preserve">4</t>
  </si>
  <si>
    <t xml:space="preserve">SIA "ASK ENTERPRISE"</t>
  </si>
  <si>
    <t xml:space="preserve">MAG Welder</t>
  </si>
  <si>
    <t xml:space="preserve">ask.lv</t>
  </si>
  <si>
    <t xml:space="preserve">Saulkrasti</t>
  </si>
  <si>
    <t xml:space="preserve">Office / General Manager</t>
  </si>
  <si>
    <t xml:space="preserve">Email</t>
  </si>
  <si>
    <t xml:space="preserve">Functional website and repeated welding vacancies, but only generic office contact available.</t>
  </si>
  <si>
    <t xml:space="preserve">5</t>
  </si>
  <si>
    <t xml:space="preserve">SIA "Industrial Welding"</t>
  </si>
  <si>
    <t xml:space="preserve">Mechanized Welder (MAG)</t>
  </si>
  <si>
    <t xml:space="preserve">industrialwelding.lv</t>
  </si>
  <si>
    <t xml:space="preserve">Daugavpils</t>
  </si>
  <si>
    <t xml:space="preserve">HR Department (hr@industrialwelding.lv)</t>
  </si>
  <si>
    <t xml:space="preserve">Dedicated HR mailbox and company domain indicate a structurally organized SME.</t>
  </si>
  <si>
    <t xml:space="preserve">6</t>
  </si>
  <si>
    <t xml:space="preserve">SIA Metalinvest</t>
  </si>
  <si>
    <t xml:space="preserve">MIG/MAG Welder</t>
  </si>
  <si>
    <t xml:space="preserve">metalcompany.lv</t>
  </si>
  <si>
    <t xml:space="preserve">Rīga (Šķirotava)</t>
  </si>
  <si>
    <t xml:space="preserve">Evgeniy Terebin – Director</t>
  </si>
  <si>
    <t xml:space="preserve">Named Director contact and a second, later job ad (see Sr. 50) show recurring hiring need.</t>
  </si>
  <si>
    <t xml:space="preserve">7</t>
  </si>
  <si>
    <t xml:space="preserve">SIA Turbolat</t>
  </si>
  <si>
    <t xml:space="preserve">Welder (MMA)</t>
  </si>
  <si>
    <t xml:space="preserve">turbolat.lv</t>
  </si>
  <si>
    <t xml:space="preserve">Rīga (Dārzciems)</t>
  </si>
  <si>
    <t xml:space="preserve">Office Contact</t>
  </si>
  <si>
    <t xml:space="preserve">Basic company website; only a general office line/email available.</t>
  </si>
  <si>
    <t xml:space="preserve">8</t>
  </si>
  <si>
    <t xml:space="preserve">Paero Industries</t>
  </si>
  <si>
    <t xml:space="preserve">Welder (rebar/armature)</t>
  </si>
  <si>
    <t xml:space="preserve">Jelgava</t>
  </si>
  <si>
    <t xml:space="preserve">Metal / Construction Materials</t>
  </si>
  <si>
    <t xml:space="preserve">Pavels Jerohins</t>
  </si>
  <si>
    <t xml:space="preserve">No public website; named individual contact only, likely a small workshop.</t>
  </si>
  <si>
    <t xml:space="preserve">9</t>
  </si>
  <si>
    <t xml:space="preserve">AMB Solutions SIA</t>
  </si>
  <si>
    <t xml:space="preserve">Welder</t>
  </si>
  <si>
    <t xml:space="preserve">workin.lv (3rd-party board)</t>
  </si>
  <si>
    <t xml:space="preserve">Viktorija Sniega – Administrator</t>
  </si>
  <si>
    <t xml:space="preserve">Listed site is a job board, not a company domain; limited independent verification of scale.</t>
  </si>
  <si>
    <t xml:space="preserve">10</t>
  </si>
  <si>
    <t xml:space="preserve">SIA "Malmar Sheet Metal"</t>
  </si>
  <si>
    <t xml:space="preserve">Welder (sheet metal)</t>
  </si>
  <si>
    <t xml:space="preserve">N/A (malmar.eu email)</t>
  </si>
  <si>
    <t xml:space="preserve">Ventspils</t>
  </si>
  <si>
    <t xml:space="preserve">Sheet Metal Manufacturing</t>
  </si>
  <si>
    <t xml:space="preserve">Madara Seņkāne – HR</t>
  </si>
  <si>
    <t xml:space="preserve">Named HR contact with a corporate @malmar.eu address is a strong signal despite no public site.</t>
  </si>
  <si>
    <t xml:space="preserve">11</t>
  </si>
  <si>
    <t xml:space="preserve">SIA "MELDERI V"</t>
  </si>
  <si>
    <t xml:space="preserve">Welder / Metal Structure Assembly</t>
  </si>
  <si>
    <t xml:space="preserve">melderiv.lv</t>
  </si>
  <si>
    <t xml:space="preserve">Ciemupe, Ogres nov.</t>
  </si>
  <si>
    <t xml:space="preserve">Metal Structures</t>
  </si>
  <si>
    <t xml:space="preserve">Aigars Lazdiņš</t>
  </si>
  <si>
    <t xml:space="preserve">Has a contact page and a named contact with a public LinkedIn profile — easy to approach directly.</t>
  </si>
  <si>
    <t xml:space="preserve">12</t>
  </si>
  <si>
    <t xml:space="preserve">SIA "EUROSHIP SERVICE"</t>
  </si>
  <si>
    <t xml:space="preserve">Metal Materials Welder (shipbuilding)</t>
  </si>
  <si>
    <t xml:space="preserve">euroship.lv</t>
  </si>
  <si>
    <t xml:space="preserve">Rīga</t>
  </si>
  <si>
    <t xml:space="preserve">Shipbuilding / Ship Repair</t>
  </si>
  <si>
    <t xml:space="preserve">Office / Operations Manager</t>
  </si>
  <si>
    <t xml:space="preserve">Export-oriented shipbuilding sector; website exists but named contacts are not published.</t>
  </si>
  <si>
    <t xml:space="preserve">13</t>
  </si>
  <si>
    <t xml:space="preserve">SIA "Maritime Compani"</t>
  </si>
  <si>
    <t xml:space="preserve">directory listing only</t>
  </si>
  <si>
    <t xml:space="preserve">Shipbuilding</t>
  </si>
  <si>
    <t xml:space="preserve">Only found via a business directory; no verifiable company-owned site or named contact.</t>
  </si>
  <si>
    <t xml:space="preserve">14</t>
  </si>
  <si>
    <t xml:space="preserve">AGENCE SIA (recruiter)</t>
  </si>
  <si>
    <t xml:space="preserve">Welder (placement in Denmark)</t>
  </si>
  <si>
    <t xml:space="preserve">agence.lv</t>
  </si>
  <si>
    <t xml:space="preserve">Latvia (agency)</t>
  </si>
  <si>
    <t xml:space="preserve">Recruitment / Overseas Placement Agency</t>
  </si>
  <si>
    <t xml:space="preserve">This is itself an overseas-placement recruiter — a channel partner or competitor, not an end-client manufacturer.</t>
  </si>
  <si>
    <t xml:space="preserve">15</t>
  </si>
  <si>
    <t xml:space="preserve">SIA "Rēzeknes siltumtīkli"</t>
  </si>
  <si>
    <t xml:space="preserve">Electrician (B/C category)</t>
  </si>
  <si>
    <t xml:space="preserve">rezeknessiltumtikli.lv</t>
  </si>
  <si>
    <t xml:space="preserve">Rēzekne</t>
  </si>
  <si>
    <t xml:space="preserve">District Heating Utility</t>
  </si>
  <si>
    <t xml:space="preserve">HR Department</t>
  </si>
  <si>
    <t xml:space="preserve">Municipal heating utility, not a manufacturer — outside core ICP despite solid contact/website data.</t>
  </si>
  <si>
    <t xml:space="preserve">16</t>
  </si>
  <si>
    <t xml:space="preserve">SIA Piche</t>
  </si>
  <si>
    <t xml:space="preserve">Electrician - Foreman</t>
  </si>
  <si>
    <t xml:space="preserve">piche.eu</t>
  </si>
  <si>
    <t xml:space="preserve">Mārupes nov.</t>
  </si>
  <si>
    <t xml:space="preserve">Electrical Contracting</t>
  </si>
  <si>
    <t xml:space="preserve">Pēteris Senkāns</t>
  </si>
  <si>
    <t xml:space="preserve">Electrical services/contracting firm — adjacent to manufacturing rather than a producer itself.</t>
  </si>
  <si>
    <t xml:space="preserve">17</t>
  </si>
  <si>
    <t xml:space="preserve">SIA "Liepājas tramvajs"</t>
  </si>
  <si>
    <t xml:space="preserve">Electrician / Electromechanic</t>
  </si>
  <si>
    <t xml:space="preserve">liepajastramvajs.lv</t>
  </si>
  <si>
    <t xml:space="preserve">Public Transport Utility</t>
  </si>
  <si>
    <t xml:space="preserve">Municipal transport operator, not a manufacturing company — low strategic fit despite good digital presence.</t>
  </si>
  <si>
    <t xml:space="preserve">18</t>
  </si>
  <si>
    <t xml:space="preserve">SIA "Lat Shipbuilding"</t>
  </si>
  <si>
    <t xml:space="preserve">Electrician (shipbuilding)</t>
  </si>
  <si>
    <t xml:space="preserve">latship.lv</t>
  </si>
  <si>
    <t xml:space="preserve">Natālija Neronova</t>
  </si>
  <si>
    <t xml:space="preserve">Duplicate entry for LAT Shipbuilding (see Sr. 46) — merge records; strong export-manufacturing fit.</t>
  </si>
  <si>
    <t xml:space="preserve">19</t>
  </si>
  <si>
    <t xml:space="preserve">AS Valmieras Stikla Šķiedra</t>
  </si>
  <si>
    <t xml:space="preserve">Electrician (shift work)</t>
  </si>
  <si>
    <t xml:space="preserve">valmiera.com</t>
  </si>
  <si>
    <t xml:space="preserve">Valmiera</t>
  </si>
  <si>
    <t xml:space="preserve">Glass Fibre Manufacturing (Export)</t>
  </si>
  <si>
    <t xml:space="preserve">Recruitment Team (recruitment@valmiera-glass.com)</t>
  </si>
  <si>
    <t xml:space="preserve">Large, well-known export-focused glass-fibre manufacturer with a dedicated recruitment mailbox and shift-based, high-volume hiring.</t>
  </si>
  <si>
    <t xml:space="preserve">20</t>
  </si>
  <si>
    <t xml:space="preserve">SIA "Vika Wood"</t>
  </si>
  <si>
    <t xml:space="preserve">Electrician (sawmill)</t>
  </si>
  <si>
    <t xml:space="preserve">vikawood.lv</t>
  </si>
  <si>
    <t xml:space="preserve">Talsu nov.</t>
  </si>
  <si>
    <t xml:space="preserve">Wood Processing / Sawmill (Export sector)</t>
  </si>
  <si>
    <t xml:space="preserve">Uldis Deisons</t>
  </si>
  <si>
    <t xml:space="preserve">Wood processing is a major Latvian export sector; named contact and functioning website.</t>
  </si>
  <si>
    <t xml:space="preserve">21</t>
  </si>
  <si>
    <t xml:space="preserve">SIA "Rehill"</t>
  </si>
  <si>
    <t xml:space="preserve">Low-Voltage Electrician (fitter)</t>
  </si>
  <si>
    <t xml:space="preserve">lursoft directory</t>
  </si>
  <si>
    <t xml:space="preserve">Latvia</t>
  </si>
  <si>
    <t xml:space="preserve">Electrical Systems / Building Services</t>
  </si>
  <si>
    <t xml:space="preserve">Kaspars Koļčs</t>
  </si>
  <si>
    <t xml:space="preserve">Found via Lursoft business registry only; contact uses a personal Gmail address.</t>
  </si>
  <si>
    <t xml:space="preserve">22</t>
  </si>
  <si>
    <t xml:space="preserve">SIA "SMD Baltic"</t>
  </si>
  <si>
    <t xml:space="preserve">Automated Assembly Line Operator</t>
  </si>
  <si>
    <t xml:space="preserve">smd-baltic.lv</t>
  </si>
  <si>
    <t xml:space="preserve">Electronics Manufacturing (SMD/PCB assembly)</t>
  </si>
  <si>
    <t xml:space="preserve">Galina Anisko</t>
  </si>
  <si>
    <t xml:space="preserve">Electronics/SMD assembly is a strong staffing-fit vertical; dedicated cv@ recruitment mailbox.</t>
  </si>
  <si>
    <t xml:space="preserve">23</t>
  </si>
  <si>
    <t xml:space="preserve">SIA CNC Latvia</t>
  </si>
  <si>
    <t xml:space="preserve">CNC Metalworking Machine Operator</t>
  </si>
  <si>
    <t xml:space="preserve">cnclatvia.lv</t>
  </si>
  <si>
    <t xml:space="preserve">CNC Precision Manufacturing</t>
  </si>
  <si>
    <t xml:space="preserve">Māris Zubovs – CEO/Director</t>
  </si>
  <si>
    <t xml:space="preserve">Direct CEO contact and email — fast path to a decision-maker for a precision metalworking shop.</t>
  </si>
  <si>
    <t xml:space="preserve">24</t>
  </si>
  <si>
    <t xml:space="preserve">Yes We Can</t>
  </si>
  <si>
    <t xml:space="preserve">CNC Operator – 5-axis Biesse Rover</t>
  </si>
  <si>
    <t xml:space="preserve">yeswecan.lv</t>
  </si>
  <si>
    <t xml:space="preserve">Ropažu nov.</t>
  </si>
  <si>
    <t xml:space="preserve">Woodworking Manufacturing</t>
  </si>
  <si>
    <t xml:space="preserve">HR Contact</t>
  </si>
  <si>
    <t xml:space="preserve">5-axis CNC equipment signals a capital-invested, technically sophisticated wood manufacturer.</t>
  </si>
  <si>
    <t xml:space="preserve">25</t>
  </si>
  <si>
    <t xml:space="preserve">SIA "Daiļrade Koks"</t>
  </si>
  <si>
    <t xml:space="preserve">CNC Woodworking Equipment Operator</t>
  </si>
  <si>
    <t xml:space="preserve">dailradekoks.lv</t>
  </si>
  <si>
    <t xml:space="preserve">Website found under a slightly misspelled domain; generic contact only.</t>
  </si>
  <si>
    <t xml:space="preserve">26</t>
  </si>
  <si>
    <t xml:space="preserve">SIA Metcom</t>
  </si>
  <si>
    <t xml:space="preserve">CNC Laser Cutting Machine Operator</t>
  </si>
  <si>
    <t xml:space="preserve">metcom.lv</t>
  </si>
  <si>
    <t xml:space="preserve">Metal Fabrication (Laser Cutting)</t>
  </si>
  <si>
    <t xml:space="preserve">Laser-cutting capability signals a more technically advanced metalworking operation.</t>
  </si>
  <si>
    <t xml:space="preserve">27</t>
  </si>
  <si>
    <t xml:space="preserve">SIA Mk Dizains</t>
  </si>
  <si>
    <t xml:space="preserve">CNC Operator Assistant (playground equip.)</t>
  </si>
  <si>
    <t xml:space="preserve">Jēkabpils nov.</t>
  </si>
  <si>
    <t xml:space="preserve">Woodworking / Playground Equipment</t>
  </si>
  <si>
    <t xml:space="preserve">Small niche manufacturer with no public website; limited scale signal.</t>
  </si>
  <si>
    <t xml:space="preserve">28</t>
  </si>
  <si>
    <t xml:space="preserve">"VEREMS" RSEZ SIA "Lejas Ančupāni"</t>
  </si>
  <si>
    <t xml:space="preserve">CNC Operator</t>
  </si>
  <si>
    <t xml:space="preserve">linked to finieris.com (UPM)</t>
  </si>
  <si>
    <t xml:space="preserve">Rēzeknes nov.</t>
  </si>
  <si>
    <t xml:space="preserve">Wood Panel / Plywood Manufacturing (Rēzekne SEZ, UPM-linked)</t>
  </si>
  <si>
    <t xml:space="preserve">HR / Plant Manager</t>
  </si>
  <si>
    <t xml:space="preserve">Special Economic Zone resident linked to the Finieris/UPM plywood group — large-scale, internationally owned production site.</t>
  </si>
  <si>
    <t xml:space="preserve">29</t>
  </si>
  <si>
    <t xml:space="preserve">SIA "Silkeborg Spaantagning Baltic"</t>
  </si>
  <si>
    <t xml:space="preserve">CNC Metalworking Operator (night shift)</t>
  </si>
  <si>
    <t xml:space="preserve">mssp.group</t>
  </si>
  <si>
    <t xml:space="preserve">CNC Precision Manufacturing (Danish-owned, MSSP Group)</t>
  </si>
  <si>
    <t xml:space="preserve">HR / Site Manager</t>
  </si>
  <si>
    <t xml:space="preserve">Danish-owned subsidiary of MSSP Group running night shifts — clear cross-border ownership and volume hiring need.</t>
  </si>
  <si>
    <t xml:space="preserve">30</t>
  </si>
  <si>
    <t xml:space="preserve">SIA Leax Baltix</t>
  </si>
  <si>
    <t xml:space="preserve">N/A (leax.com email)</t>
  </si>
  <si>
    <t xml:space="preserve">Babītes pag.</t>
  </si>
  <si>
    <t xml:space="preserve">Automotive Components (Swedish Leax Group)</t>
  </si>
  <si>
    <t xml:space="preserve">HR &amp; Quality Team (hr.leaxquality@leax.com)</t>
  </si>
  <si>
    <t xml:space="preserve">Part of the Swedish Leax Group automotive-component manufacturer — strong international-ownership signal and dedicated HR mailbox.</t>
  </si>
  <si>
    <t xml:space="preserve">31</t>
  </si>
  <si>
    <t xml:space="preserve">SIA "East Metal"</t>
  </si>
  <si>
    <t xml:space="preserve">CNC Operator (full-cycle metal processing)</t>
  </si>
  <si>
    <t xml:space="preserve">eastmetal.eu</t>
  </si>
  <si>
    <t xml:space="preserve">Metal Manufacturing (Export-oriented, .eu domain)</t>
  </si>
  <si>
    <t xml:space="preserve">Full-cycle in-house metal processing and a .eu export-facing domain suggest an outward-looking manufacturer.</t>
  </si>
  <si>
    <t xml:space="preserve">32</t>
  </si>
  <si>
    <t xml:space="preserve">airBaltic Corporation AS</t>
  </si>
  <si>
    <t xml:space="preserve">Warehouse Worker (cargo)</t>
  </si>
  <si>
    <t xml:space="preserve">airbaltic.com</t>
  </si>
  <si>
    <t xml:space="preserve">Aviation / Air Cargo Logistics</t>
  </si>
  <si>
    <t xml:space="preserve">Olga Kolesnikova / Corporate Careers Team</t>
  </si>
  <si>
    <t xml:space="preserve">National flag carrier with major scale and an international network — high volume potential, though logistics rather than manufacturing.</t>
  </si>
  <si>
    <t xml:space="preserve">33</t>
  </si>
  <si>
    <t xml:space="preserve">SIA "BK Latvia"</t>
  </si>
  <si>
    <t xml:space="preserve">Warehouse Worker (CCTV wholesaler)</t>
  </si>
  <si>
    <t xml:space="preserve">bklatvia.lv</t>
  </si>
  <si>
    <t xml:space="preserve">Security Equipment Distribution</t>
  </si>
  <si>
    <t xml:space="preserve">Nataļja Osipova – HR Manager</t>
  </si>
  <si>
    <t xml:space="preserve">Named HR Manager with direct email, but core business is trading/distribution, not manufacturing.</t>
  </si>
  <si>
    <t xml:space="preserve">34</t>
  </si>
  <si>
    <t xml:space="preserve">SIA Parcels</t>
  </si>
  <si>
    <t xml:space="preserve">Warehouse Worker / Order Picker</t>
  </si>
  <si>
    <t xml:space="preserve">Packaging / Logistics</t>
  </si>
  <si>
    <t xml:space="preserve">Unknown</t>
  </si>
  <si>
    <t xml:space="preserve">No public information beyond the job title; cannot verify legitimacy or scale.</t>
  </si>
  <si>
    <t xml:space="preserve">35</t>
  </si>
  <si>
    <t xml:space="preserve">Bau24 SIA</t>
  </si>
  <si>
    <t xml:space="preserve">Warehouse Worker (building materials)</t>
  </si>
  <si>
    <t xml:space="preserve">bau24.lv</t>
  </si>
  <si>
    <t xml:space="preserve">Building Materials Trading</t>
  </si>
  <si>
    <t xml:space="preserve">Building-materials trading company; functional site but generic HR contact only.</t>
  </si>
  <si>
    <t xml:space="preserve">36</t>
  </si>
  <si>
    <t xml:space="preserve">"Promo Cash &amp; Carry"</t>
  </si>
  <si>
    <t xml:space="preserve">Warehouse Worker (loading/unloading)</t>
  </si>
  <si>
    <t xml:space="preserve">promo.lv</t>
  </si>
  <si>
    <t xml:space="preserve">Wholesale / Retail</t>
  </si>
  <si>
    <t xml:space="preserve">Cash &amp; carry wholesaler — retail sector, outside the manufacturing ICP.</t>
  </si>
  <si>
    <t xml:space="preserve">37</t>
  </si>
  <si>
    <t xml:space="preserve">Duty Free Baltics SIA</t>
  </si>
  <si>
    <t xml:space="preserve">Goods Picker / Warehouse Worker</t>
  </si>
  <si>
    <t xml:space="preserve">Retail (Duty Free)</t>
  </si>
  <si>
    <t xml:space="preserve">No named contact or public site found; retail sector, low fit.</t>
  </si>
  <si>
    <t xml:space="preserve">38</t>
  </si>
  <si>
    <t xml:space="preserve">MAXIMA Latvija SIA</t>
  </si>
  <si>
    <t xml:space="preserve">Loader / Warehouse Worker</t>
  </si>
  <si>
    <t xml:space="preserve">maxima.lv</t>
  </si>
  <si>
    <t xml:space="preserve">Baloži</t>
  </si>
  <si>
    <t xml:space="preserve">Retail (Largest Baltic Supermarket Chain)</t>
  </si>
  <si>
    <t xml:space="preserve">Corporate HR / Recruitment Team</t>
  </si>
  <si>
    <t xml:space="preserve">Very large employer with high-volume, recurring warehouse hiring — worth a separate retail/logistics track, but not core manufacturing ICP.</t>
  </si>
  <si>
    <t xml:space="preserve">39</t>
  </si>
  <si>
    <t xml:space="preserve">SIA Banga Ltd</t>
  </si>
  <si>
    <t xml:space="preserve">Finished Goods Warehouse Worker</t>
  </si>
  <si>
    <t xml:space="preserve">Unclear / Warehousing</t>
  </si>
  <si>
    <t xml:space="preserve">No verifiable information available; cannot qualify.</t>
  </si>
  <si>
    <t xml:space="preserve">40</t>
  </si>
  <si>
    <t xml:space="preserve">Biovela (LT, recruiting in Latvia)</t>
  </si>
  <si>
    <t xml:space="preserve">Warehouse Worker (cold storage)</t>
  </si>
  <si>
    <t xml:space="preserve">Food/Meat Processing (Lithuanian Group)</t>
  </si>
  <si>
    <t xml:space="preserve">Jana Kuzmičiova</t>
  </si>
  <si>
    <t xml:space="preserve">Part of the Lithuanian Biovela meat-processing group; cross-border operation but minimal Latvia-specific contact data.</t>
  </si>
  <si>
    <t xml:space="preserve">41</t>
  </si>
  <si>
    <t xml:space="preserve">Teters Metals</t>
  </si>
  <si>
    <t xml:space="preserve">CNC Milling Operator</t>
  </si>
  <si>
    <t xml:space="preserve">tetersmetals.lv</t>
  </si>
  <si>
    <t xml:space="preserve">Olaine</t>
  </si>
  <si>
    <t xml:space="preserve">CNC Precision Machining</t>
  </si>
  <si>
    <t xml:space="preserve">Valentin Teličenko</t>
  </si>
  <si>
    <t xml:space="preserve">Sourced as an explicitly flagged "Hot lead" with a dedicated vacancies page and two verified direct contact channels — a self-evident priority target.</t>
  </si>
  <si>
    <t xml:space="preserve">42</t>
  </si>
  <si>
    <t xml:space="preserve">Hansa Matrix</t>
  </si>
  <si>
    <t xml:space="preserve">CNC Machine Operator</t>
  </si>
  <si>
    <t xml:space="preserve">hansamatrix.com</t>
  </si>
  <si>
    <t xml:space="preserve">Electronics Manufacturing Services (EMS) — publicly listed</t>
  </si>
  <si>
    <t xml:space="preserve">Inga Beņķe – HR</t>
  </si>
  <si>
    <t xml:space="preserve">A Nasdaq Baltic-listed electronics manufacturer (EMS) serving international OEM customers — sizeable, professionally run, with a named HR contact.</t>
  </si>
  <si>
    <t xml:space="preserve">43</t>
  </si>
  <si>
    <t xml:space="preserve">Silmor SIA</t>
  </si>
  <si>
    <t xml:space="preserve">silmor.eu</t>
  </si>
  <si>
    <t xml:space="preserve">CNC Metal Machining</t>
  </si>
  <si>
    <t xml:space="preserve">Liene Gaspažiņa</t>
  </si>
  <si>
    <t xml:space="preserve">Named contact with direct email and phone on a professional .eu domain — an easy, well-documented approach.</t>
  </si>
  <si>
    <t xml:space="preserve">44</t>
  </si>
  <si>
    <t xml:space="preserve">PRORING Latvia Ltd.</t>
  </si>
  <si>
    <t xml:space="preserve">proring.lv</t>
  </si>
  <si>
    <t xml:space="preserve">Reinis Grunte</t>
  </si>
  <si>
    <t xml:space="preserve">Named contact with both email and a public LinkedIn profile — enables a multi-channel outreach sequence.</t>
  </si>
  <si>
    <t xml:space="preserve">45</t>
  </si>
  <si>
    <t xml:space="preserve">SIA "BilletWorks"</t>
  </si>
  <si>
    <t xml:space="preserve">billetworks.eu</t>
  </si>
  <si>
    <t xml:space="preserve">Metal Billet / CNC Manufacturing</t>
  </si>
  <si>
    <t xml:space="preserve">Kristaps Seglins</t>
  </si>
  <si>
    <t xml:space="preserve">Direct named contact reachable by both phone and email on a dedicated .eu domain.</t>
  </si>
  <si>
    <t xml:space="preserve">46</t>
  </si>
  <si>
    <t xml:space="preserve">SIA "LAT Shipbuilding"</t>
  </si>
  <si>
    <t xml:space="preserve">Metal Welders</t>
  </si>
  <si>
    <t xml:space="preserve">latshipbuilding.lv</t>
  </si>
  <si>
    <t xml:space="preserve">Agiya Walter – Personnel</t>
  </si>
  <si>
    <t xml:space="preserve">Second listing for LAT Shipbuilding with a dedicated "personnel" mailbox — export-oriented shipbuilder hiring across multiple trades.</t>
  </si>
  <si>
    <t xml:space="preserve">47</t>
  </si>
  <si>
    <t xml:space="preserve">Dinex Latvia SIA</t>
  </si>
  <si>
    <t xml:space="preserve">dinex.dk</t>
  </si>
  <si>
    <t xml:space="preserve">Automotive Exhaust Systems Manufacturing (Danish-owned)</t>
  </si>
  <si>
    <t xml:space="preserve">Diana Broka</t>
  </si>
  <si>
    <t xml:space="preserve">Latvian subsidiary of Dinex, a global Danish automotive-exhaust manufacturer — strong export/international ownership fit for staffing services.</t>
  </si>
  <si>
    <t xml:space="preserve">48</t>
  </si>
  <si>
    <t xml:space="preserve">Lafi Systems</t>
  </si>
  <si>
    <t xml:space="preserve">lafi.lv</t>
  </si>
  <si>
    <t xml:space="preserve">Metal / Systems Manufacturing</t>
  </si>
  <si>
    <t xml:space="preserve">Beāte Bērziņa</t>
  </si>
  <si>
    <t xml:space="preserve">Professional website exists but contact details beyond one name were not captured — needs further verification.</t>
  </si>
  <si>
    <t xml:space="preserve">49</t>
  </si>
  <si>
    <t xml:space="preserve">SIA "Best welders"</t>
  </si>
  <si>
    <t xml:space="preserve">Dobele</t>
  </si>
  <si>
    <t xml:space="preserve">Metal Fabrication / Welding Services</t>
  </si>
  <si>
    <t xml:space="preserve">Kristine Alexandrova</t>
  </si>
  <si>
    <t xml:space="preserve">Gmail-based contact address and directory-only listing suggest a very small operation.</t>
  </si>
  <si>
    <t xml:space="preserve">50</t>
  </si>
  <si>
    <t xml:space="preserve">Sia Metalinvest</t>
  </si>
  <si>
    <t xml:space="preserve">Duplicate of Sr. 6 (Metalinvest) — the repeat vacancy confirms a recurring, ongoing hiring need.</t>
  </si>
  <si>
    <t xml:space="preserve">51</t>
  </si>
  <si>
    <t xml:space="preserve">Industry Service Partner SIA</t>
  </si>
  <si>
    <t xml:space="preserve">Electrician</t>
  </si>
  <si>
    <t xml:space="preserve">ispartner.lv</t>
  </si>
  <si>
    <t xml:space="preserve">Industrial Technical Services (possible staffing/subcontracting overlap)</t>
  </si>
  <si>
    <t xml:space="preserve">Anete Araja / Valery Yurshevich – Tech Director</t>
  </si>
  <si>
    <t xml:space="preserve">Provides industrial technical/staffing-adjacent services itself — treat as a potential channel partner rather than a pure end-client.</t>
  </si>
  <si>
    <t xml:space="preserve">52</t>
  </si>
  <si>
    <t xml:space="preserve">SSI Schaefer SIA</t>
  </si>
  <si>
    <t xml:space="preserve">ssi-schaefer.com</t>
  </si>
  <si>
    <t xml:space="preserve">Warehouse &amp; Intralogistics Systems Manufacturing (German multinational)</t>
  </si>
  <si>
    <t xml:space="preserve">Līva Ugaine</t>
  </si>
  <si>
    <t xml:space="preserve">Latvian arm of SSI Schaefer, a major German intralogistics-equipment manufacturer — strong global brand and export/engineering orientation.</t>
  </si>
  <si>
    <t xml:space="preserve">54</t>
  </si>
  <si>
    <t xml:space="preserve">Sia Zieglar</t>
  </si>
  <si>
    <t xml:space="preserve">ziegler-harvesting...com</t>
  </si>
  <si>
    <t xml:space="preserve">Agricultural/Forestry Machinery (Trading &amp; Service)</t>
  </si>
  <si>
    <t xml:space="preserve">Website exists and industry is adjacent to manufacturing, but contact details are thin.</t>
  </si>
  <si>
    <t xml:space="preserve">55</t>
  </si>
  <si>
    <t xml:space="preserve">EL Networks</t>
  </si>
  <si>
    <t xml:space="preserve">elnetworks.lv</t>
  </si>
  <si>
    <t xml:space="preserve">Electrical Installation &amp; Networks</t>
  </si>
  <si>
    <t xml:space="preserve">Olga Zīle</t>
  </si>
  <si>
    <t xml:space="preserve">Named contact with direct phone and email; an electrical services contractor rather than a producer.</t>
  </si>
  <si>
    <t xml:space="preserve">56</t>
  </si>
  <si>
    <t xml:space="preserve">RK Power SIA</t>
  </si>
  <si>
    <t xml:space="preserve">rkpower.com</t>
  </si>
  <si>
    <t xml:space="preserve">Electrical / Power Systems</t>
  </si>
  <si>
    <t xml:space="preserve">Gints Fuksis</t>
  </si>
  <si>
    <t xml:space="preserve">Named contact and phone number, but no email captured; power-systems services firm.</t>
  </si>
  <si>
    <t xml:space="preserve">57</t>
  </si>
  <si>
    <t xml:space="preserve">DOJUS Latvia, SIA</t>
  </si>
  <si>
    <t xml:space="preserve">Warehouse Worker</t>
  </si>
  <si>
    <t xml:space="preserve">dojuslatvija.lv</t>
  </si>
  <si>
    <t xml:space="preserve">Agricultural Machinery Distribution (Lithuanian Dojus Group)</t>
  </si>
  <si>
    <t xml:space="preserve">Uldis Rungēvics / Marta Ākermane</t>
  </si>
  <si>
    <t xml:space="preserve">Part of the Lithuanian Dojus Group agricultural-machinery dealer network — good contact quality, though a distributor rather than a manufacturer.</t>
  </si>
  <si>
    <t xml:space="preserve">Sales Pipeline Summary</t>
  </si>
  <si>
    <t xml:space="preserve">Metric</t>
  </si>
  <si>
    <t xml:space="preserve">Value</t>
  </si>
  <si>
    <t xml:space="preserve">Total Companies Analyzed</t>
  </si>
  <si>
    <t xml:space="preserve">Hot Leads (Score ≥ 75)</t>
  </si>
  <si>
    <t xml:space="preserve">Warm Leads (Score 50–74)</t>
  </si>
  <si>
    <t xml:space="preserve">Cold Leads (Score &lt; 50)</t>
  </si>
  <si>
    <t xml:space="preserve">Average Lead Score</t>
  </si>
  <si>
    <t xml:space="preserve">Top 10 Outreach-Ready Companies</t>
  </si>
  <si>
    <t xml:space="preserve">Note: Sr. 6/50 (Metalinvest) and Sr. 18/46 (LAT Shipbuilding) are duplicate company records from separate job-ad sources; counts above reflect all 55 sourced records. Recommend de-duplicating to 53 unique companies before CRM import.</t>
  </si>
  <si>
    <t xml:space="preserve">Top 10 Outreach-Ready Leads</t>
  </si>
  <si>
    <t xml:space="preserve">Rank</t>
  </si>
  <si>
    <t xml:space="preserve">Score /100</t>
  </si>
  <si>
    <t xml:space="preserve">Hot</t>
  </si>
  <si>
    <t xml:space="preserve">Warm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</si>
</sst>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12" min="7" style="0" width="9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40"/>
    <col collapsed="false" customWidth="true" hidden="false" outlineLevel="0" max="16" min="16" style="0" width="11"/>
    <col collapsed="false" customWidth="true" hidden="false" outlineLevel="0" max="17" min="17" style="0" width="9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23.8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5" t="n">
        <v>18</v>
      </c>
      <c r="H5" s="5" t="n">
        <v>18</v>
      </c>
      <c r="I5" s="5" t="n">
        <v>14</v>
      </c>
      <c r="J5" s="5" t="n">
        <v>12</v>
      </c>
      <c r="K5" s="5" t="n">
        <v>12</v>
      </c>
      <c r="L5" s="5" t="n">
        <v>9</v>
      </c>
      <c r="M5" s="4" t="s">
        <v>25</v>
      </c>
      <c r="N5" s="4" t="s">
        <v>26</v>
      </c>
      <c r="O5" s="4" t="s">
        <v>27</v>
      </c>
      <c r="P5" s="6" t="n">
        <f aca="false">SUM(G5:L5)</f>
        <v>83</v>
      </c>
      <c r="Q5" s="7" t="str">
        <f aca="false">IF(P5&gt;=75,"Hot",IF(P5&gt;=50,"Warm","Cold"))</f>
        <v>Hot</v>
      </c>
    </row>
    <row r="6" customFormat="false" ht="23.85" hidden="false" customHeight="false" outlineLevel="0" collapsed="false">
      <c r="A6" s="4" t="s">
        <v>28</v>
      </c>
      <c r="B6" s="4" t="s">
        <v>29</v>
      </c>
      <c r="C6" s="4" t="s">
        <v>21</v>
      </c>
      <c r="D6" s="4" t="s">
        <v>30</v>
      </c>
      <c r="E6" s="4" t="s">
        <v>31</v>
      </c>
      <c r="F6" s="4" t="s">
        <v>32</v>
      </c>
      <c r="G6" s="5" t="n">
        <v>10</v>
      </c>
      <c r="H6" s="5" t="n">
        <v>12</v>
      </c>
      <c r="I6" s="5" t="n">
        <v>2</v>
      </c>
      <c r="J6" s="5" t="n">
        <v>5</v>
      </c>
      <c r="K6" s="5" t="n">
        <v>3</v>
      </c>
      <c r="L6" s="5" t="n">
        <v>4</v>
      </c>
      <c r="M6" s="4" t="s">
        <v>33</v>
      </c>
      <c r="N6" s="4" t="s">
        <v>34</v>
      </c>
      <c r="O6" s="4" t="s">
        <v>35</v>
      </c>
      <c r="P6" s="6" t="n">
        <f aca="false">SUM(G6:L6)</f>
        <v>36</v>
      </c>
      <c r="Q6" s="7" t="str">
        <f aca="false">IF(P6&gt;=75,"Hot",IF(P6&gt;=50,"Warm","Cold"))</f>
        <v>Cold</v>
      </c>
    </row>
    <row r="7" customFormat="false" ht="23.85" hidden="false" customHeight="false" outlineLevel="0" collapsed="false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32</v>
      </c>
      <c r="G7" s="5" t="n">
        <v>14</v>
      </c>
      <c r="H7" s="5" t="n">
        <v>14</v>
      </c>
      <c r="I7" s="5" t="n">
        <v>9</v>
      </c>
      <c r="J7" s="5" t="n">
        <v>6</v>
      </c>
      <c r="K7" s="5" t="n">
        <v>4</v>
      </c>
      <c r="L7" s="5" t="n">
        <v>5</v>
      </c>
      <c r="M7" s="4" t="s">
        <v>41</v>
      </c>
      <c r="N7" s="4" t="s">
        <v>42</v>
      </c>
      <c r="O7" s="4" t="s">
        <v>43</v>
      </c>
      <c r="P7" s="6" t="n">
        <f aca="false">SUM(G7:L7)</f>
        <v>52</v>
      </c>
      <c r="Q7" s="7" t="str">
        <f aca="false">IF(P7&gt;=75,"Hot",IF(P7&gt;=50,"Warm","Cold"))</f>
        <v>Warm</v>
      </c>
    </row>
    <row r="8" customFormat="false" ht="23.85" hidden="false" customHeight="false" outlineLevel="0" collapsed="false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32</v>
      </c>
      <c r="G8" s="5" t="n">
        <v>15</v>
      </c>
      <c r="H8" s="5" t="n">
        <v>15</v>
      </c>
      <c r="I8" s="5" t="n">
        <v>10</v>
      </c>
      <c r="J8" s="5" t="n">
        <v>9</v>
      </c>
      <c r="K8" s="5" t="n">
        <v>5</v>
      </c>
      <c r="L8" s="5" t="n">
        <v>6</v>
      </c>
      <c r="M8" s="4" t="s">
        <v>49</v>
      </c>
      <c r="N8" s="4" t="s">
        <v>42</v>
      </c>
      <c r="O8" s="4" t="s">
        <v>50</v>
      </c>
      <c r="P8" s="6" t="n">
        <f aca="false">SUM(G8:L8)</f>
        <v>60</v>
      </c>
      <c r="Q8" s="7" t="str">
        <f aca="false">IF(P8&gt;=75,"Hot",IF(P8&gt;=50,"Warm","Cold"))</f>
        <v>Warm</v>
      </c>
    </row>
    <row r="9" customFormat="false" ht="23.85" hidden="false" customHeight="false" outlineLevel="0" collapsed="false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32</v>
      </c>
      <c r="G9" s="5" t="n">
        <v>15</v>
      </c>
      <c r="H9" s="5" t="n">
        <v>16</v>
      </c>
      <c r="I9" s="5" t="n">
        <v>9</v>
      </c>
      <c r="J9" s="5" t="n">
        <v>11</v>
      </c>
      <c r="K9" s="5" t="n">
        <v>5</v>
      </c>
      <c r="L9" s="5" t="n">
        <v>7</v>
      </c>
      <c r="M9" s="4" t="s">
        <v>56</v>
      </c>
      <c r="N9" s="4" t="s">
        <v>42</v>
      </c>
      <c r="O9" s="4" t="s">
        <v>57</v>
      </c>
      <c r="P9" s="6" t="n">
        <f aca="false">SUM(G9:L9)</f>
        <v>63</v>
      </c>
      <c r="Q9" s="7" t="str">
        <f aca="false">IF(P9&gt;=75,"Hot",IF(P9&gt;=50,"Warm","Cold"))</f>
        <v>Warm</v>
      </c>
    </row>
    <row r="10" customFormat="false" ht="23.85" hidden="false" customHeight="false" outlineLevel="0" collapsed="false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 t="s">
        <v>32</v>
      </c>
      <c r="G10" s="5" t="n">
        <v>13</v>
      </c>
      <c r="H10" s="5" t="n">
        <v>12</v>
      </c>
      <c r="I10" s="5" t="n">
        <v>8</v>
      </c>
      <c r="J10" s="5" t="n">
        <v>4</v>
      </c>
      <c r="K10" s="5" t="n">
        <v>3</v>
      </c>
      <c r="L10" s="5" t="n">
        <v>4</v>
      </c>
      <c r="M10" s="4" t="s">
        <v>63</v>
      </c>
      <c r="N10" s="4" t="s">
        <v>34</v>
      </c>
      <c r="O10" s="4" t="s">
        <v>64</v>
      </c>
      <c r="P10" s="6" t="n">
        <f aca="false">SUM(G10:L10)</f>
        <v>44</v>
      </c>
      <c r="Q10" s="7" t="str">
        <f aca="false">IF(P10&gt;=75,"Hot",IF(P10&gt;=50,"Warm","Cold"))</f>
        <v>Cold</v>
      </c>
    </row>
    <row r="11" customFormat="false" ht="23.85" hidden="false" customHeight="false" outlineLevel="0" collapsed="false">
      <c r="A11" s="4" t="s">
        <v>65</v>
      </c>
      <c r="B11" s="4" t="s">
        <v>66</v>
      </c>
      <c r="C11" s="4" t="s">
        <v>67</v>
      </c>
      <c r="D11" s="4" t="s">
        <v>30</v>
      </c>
      <c r="E11" s="4" t="s">
        <v>68</v>
      </c>
      <c r="F11" s="4" t="s">
        <v>69</v>
      </c>
      <c r="G11" s="5" t="n">
        <v>11</v>
      </c>
      <c r="H11" s="5" t="n">
        <v>11</v>
      </c>
      <c r="I11" s="5" t="n">
        <v>3</v>
      </c>
      <c r="J11" s="5" t="n">
        <v>5</v>
      </c>
      <c r="K11" s="5" t="n">
        <v>2</v>
      </c>
      <c r="L11" s="5" t="n">
        <v>3</v>
      </c>
      <c r="M11" s="4" t="s">
        <v>70</v>
      </c>
      <c r="N11" s="4" t="s">
        <v>34</v>
      </c>
      <c r="O11" s="4" t="s">
        <v>71</v>
      </c>
      <c r="P11" s="6" t="n">
        <f aca="false">SUM(G11:L11)</f>
        <v>35</v>
      </c>
      <c r="Q11" s="7" t="str">
        <f aca="false">IF(P11&gt;=75,"Hot",IF(P11&gt;=50,"Warm","Cold"))</f>
        <v>Cold</v>
      </c>
    </row>
    <row r="12" customFormat="false" ht="23.85" hidden="false" customHeight="false" outlineLevel="0" collapsed="false">
      <c r="A12" s="4" t="s">
        <v>72</v>
      </c>
      <c r="B12" s="4" t="s">
        <v>73</v>
      </c>
      <c r="C12" s="4" t="s">
        <v>74</v>
      </c>
      <c r="D12" s="4" t="s">
        <v>75</v>
      </c>
      <c r="E12" s="4" t="s">
        <v>23</v>
      </c>
      <c r="F12" s="4" t="s">
        <v>32</v>
      </c>
      <c r="G12" s="5" t="n">
        <v>11</v>
      </c>
      <c r="H12" s="5" t="n">
        <v>11</v>
      </c>
      <c r="I12" s="5" t="n">
        <v>3</v>
      </c>
      <c r="J12" s="5" t="n">
        <v>5</v>
      </c>
      <c r="K12" s="5" t="n">
        <v>3</v>
      </c>
      <c r="L12" s="5" t="n">
        <v>3</v>
      </c>
      <c r="M12" s="4" t="s">
        <v>76</v>
      </c>
      <c r="N12" s="4" t="s">
        <v>34</v>
      </c>
      <c r="O12" s="4" t="s">
        <v>77</v>
      </c>
      <c r="P12" s="6" t="n">
        <f aca="false">SUM(G12:L12)</f>
        <v>36</v>
      </c>
      <c r="Q12" s="7" t="str">
        <f aca="false">IF(P12&gt;=75,"Hot",IF(P12&gt;=50,"Warm","Cold"))</f>
        <v>Cold</v>
      </c>
    </row>
    <row r="13" customFormat="false" ht="23.85" hidden="false" customHeight="false" outlineLevel="0" collapsed="false">
      <c r="A13" s="4" t="s">
        <v>78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5" t="n">
        <v>15</v>
      </c>
      <c r="H13" s="5" t="n">
        <v>14</v>
      </c>
      <c r="I13" s="5" t="n">
        <v>5</v>
      </c>
      <c r="J13" s="5" t="n">
        <v>12</v>
      </c>
      <c r="K13" s="5" t="n">
        <v>5</v>
      </c>
      <c r="L13" s="5" t="n">
        <v>5</v>
      </c>
      <c r="M13" s="4" t="s">
        <v>84</v>
      </c>
      <c r="N13" s="4" t="s">
        <v>42</v>
      </c>
      <c r="O13" s="4" t="s">
        <v>85</v>
      </c>
      <c r="P13" s="6" t="n">
        <f aca="false">SUM(G13:L13)</f>
        <v>56</v>
      </c>
      <c r="Q13" s="7" t="str">
        <f aca="false">IF(P13&gt;=75,"Hot",IF(P13&gt;=50,"Warm","Cold"))</f>
        <v>Warm</v>
      </c>
    </row>
    <row r="14" customFormat="false" ht="23.85" hidden="false" customHeight="false" outlineLevel="0" collapsed="false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5" t="n">
        <v>15</v>
      </c>
      <c r="H14" s="5" t="n">
        <v>14</v>
      </c>
      <c r="I14" s="5" t="n">
        <v>9</v>
      </c>
      <c r="J14" s="5" t="n">
        <v>11</v>
      </c>
      <c r="K14" s="5" t="n">
        <v>5</v>
      </c>
      <c r="L14" s="5" t="n">
        <v>6</v>
      </c>
      <c r="M14" s="4" t="s">
        <v>92</v>
      </c>
      <c r="N14" s="4" t="s">
        <v>26</v>
      </c>
      <c r="O14" s="4" t="s">
        <v>93</v>
      </c>
      <c r="P14" s="6" t="n">
        <f aca="false">SUM(G14:L14)</f>
        <v>60</v>
      </c>
      <c r="Q14" s="7" t="str">
        <f aca="false">IF(P14&gt;=75,"Hot",IF(P14&gt;=50,"Warm","Cold"))</f>
        <v>Warm</v>
      </c>
    </row>
    <row r="15" customFormat="false" ht="23.85" hidden="false" customHeight="false" outlineLevel="0" collapsed="false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98</v>
      </c>
      <c r="F15" s="4" t="s">
        <v>99</v>
      </c>
      <c r="G15" s="5" t="n">
        <v>17</v>
      </c>
      <c r="H15" s="5" t="n">
        <v>13</v>
      </c>
      <c r="I15" s="5" t="n">
        <v>9</v>
      </c>
      <c r="J15" s="5" t="n">
        <v>5</v>
      </c>
      <c r="K15" s="5" t="n">
        <v>10</v>
      </c>
      <c r="L15" s="5" t="n">
        <v>6</v>
      </c>
      <c r="M15" s="4" t="s">
        <v>100</v>
      </c>
      <c r="N15" s="4" t="s">
        <v>42</v>
      </c>
      <c r="O15" s="4" t="s">
        <v>101</v>
      </c>
      <c r="P15" s="6" t="n">
        <f aca="false">SUM(G15:L15)</f>
        <v>60</v>
      </c>
      <c r="Q15" s="7" t="str">
        <f aca="false">IF(P15&gt;=75,"Hot",IF(P15&gt;=50,"Warm","Cold"))</f>
        <v>Warm</v>
      </c>
    </row>
    <row r="16" customFormat="false" ht="23.85" hidden="false" customHeight="false" outlineLevel="0" collapsed="false">
      <c r="A16" s="4" t="s">
        <v>102</v>
      </c>
      <c r="B16" s="4" t="s">
        <v>103</v>
      </c>
      <c r="C16" s="4" t="s">
        <v>96</v>
      </c>
      <c r="D16" s="4" t="s">
        <v>104</v>
      </c>
      <c r="E16" s="4" t="s">
        <v>98</v>
      </c>
      <c r="F16" s="4" t="s">
        <v>105</v>
      </c>
      <c r="G16" s="5" t="n">
        <v>16</v>
      </c>
      <c r="H16" s="5" t="n">
        <v>11</v>
      </c>
      <c r="I16" s="5" t="n">
        <v>3</v>
      </c>
      <c r="J16" s="5" t="n">
        <v>3</v>
      </c>
      <c r="K16" s="5" t="n">
        <v>9</v>
      </c>
      <c r="L16" s="5" t="n">
        <v>5</v>
      </c>
      <c r="M16" s="4" t="s">
        <v>63</v>
      </c>
      <c r="N16" s="4" t="s">
        <v>42</v>
      </c>
      <c r="O16" s="4" t="s">
        <v>106</v>
      </c>
      <c r="P16" s="6" t="n">
        <f aca="false">SUM(G16:L16)</f>
        <v>47</v>
      </c>
      <c r="Q16" s="7" t="str">
        <f aca="false">IF(P16&gt;=75,"Hot",IF(P16&gt;=50,"Warm","Cold"))</f>
        <v>Cold</v>
      </c>
    </row>
    <row r="17" customFormat="false" ht="35.05" hidden="false" customHeight="false" outlineLevel="0" collapsed="false">
      <c r="A17" s="4" t="s">
        <v>107</v>
      </c>
      <c r="B17" s="4" t="s">
        <v>108</v>
      </c>
      <c r="C17" s="4" t="s">
        <v>109</v>
      </c>
      <c r="D17" s="4" t="s">
        <v>110</v>
      </c>
      <c r="E17" s="4" t="s">
        <v>111</v>
      </c>
      <c r="F17" s="4" t="s">
        <v>112</v>
      </c>
      <c r="G17" s="5" t="n">
        <v>2</v>
      </c>
      <c r="H17" s="5" t="n">
        <v>8</v>
      </c>
      <c r="I17" s="5" t="n">
        <v>6</v>
      </c>
      <c r="J17" s="5" t="n">
        <v>3</v>
      </c>
      <c r="K17" s="5" t="n">
        <v>6</v>
      </c>
      <c r="L17" s="5" t="n">
        <v>3</v>
      </c>
      <c r="M17" s="4" t="s">
        <v>63</v>
      </c>
      <c r="N17" s="4" t="s">
        <v>42</v>
      </c>
      <c r="O17" s="4" t="s">
        <v>113</v>
      </c>
      <c r="P17" s="6" t="n">
        <f aca="false">SUM(G17:L17)</f>
        <v>28</v>
      </c>
      <c r="Q17" s="7" t="str">
        <f aca="false">IF(P17&gt;=75,"Hot",IF(P17&gt;=50,"Warm","Cold"))</f>
        <v>Cold</v>
      </c>
    </row>
    <row r="18" customFormat="false" ht="23.85" hidden="false" customHeight="false" outlineLevel="0" collapsed="false">
      <c r="A18" s="4" t="s">
        <v>114</v>
      </c>
      <c r="B18" s="4" t="s">
        <v>115</v>
      </c>
      <c r="C18" s="4" t="s">
        <v>116</v>
      </c>
      <c r="D18" s="4" t="s">
        <v>117</v>
      </c>
      <c r="E18" s="4" t="s">
        <v>118</v>
      </c>
      <c r="F18" s="4" t="s">
        <v>119</v>
      </c>
      <c r="G18" s="5" t="n">
        <v>5</v>
      </c>
      <c r="H18" s="5" t="n">
        <v>12</v>
      </c>
      <c r="I18" s="5" t="n">
        <v>8</v>
      </c>
      <c r="J18" s="5" t="n">
        <v>8</v>
      </c>
      <c r="K18" s="5" t="n">
        <v>2</v>
      </c>
      <c r="L18" s="5" t="n">
        <v>6</v>
      </c>
      <c r="M18" s="4" t="s">
        <v>120</v>
      </c>
      <c r="N18" s="4" t="s">
        <v>42</v>
      </c>
      <c r="O18" s="4" t="s">
        <v>121</v>
      </c>
      <c r="P18" s="6" t="n">
        <f aca="false">SUM(G18:L18)</f>
        <v>41</v>
      </c>
      <c r="Q18" s="7" t="str">
        <f aca="false">IF(P18&gt;=75,"Hot",IF(P18&gt;=50,"Warm","Cold"))</f>
        <v>Cold</v>
      </c>
    </row>
    <row r="19" customFormat="false" ht="23.85" hidden="false" customHeight="false" outlineLevel="0" collapsed="false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5" t="n">
        <v>12</v>
      </c>
      <c r="H19" s="5" t="n">
        <v>12</v>
      </c>
      <c r="I19" s="5" t="n">
        <v>9</v>
      </c>
      <c r="J19" s="5" t="n">
        <v>6</v>
      </c>
      <c r="K19" s="5" t="n">
        <v>4</v>
      </c>
      <c r="L19" s="5" t="n">
        <v>5</v>
      </c>
      <c r="M19" s="4" t="s">
        <v>128</v>
      </c>
      <c r="N19" s="4" t="s">
        <v>42</v>
      </c>
      <c r="O19" s="4" t="s">
        <v>129</v>
      </c>
      <c r="P19" s="6" t="n">
        <f aca="false">SUM(G19:L19)</f>
        <v>48</v>
      </c>
      <c r="Q19" s="7" t="str">
        <f aca="false">IF(P19&gt;=75,"Hot",IF(P19&gt;=50,"Warm","Cold"))</f>
        <v>Cold</v>
      </c>
    </row>
    <row r="20" customFormat="false" ht="35.05" hidden="false" customHeight="false" outlineLevel="0" collapsed="false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23</v>
      </c>
      <c r="F20" s="4" t="s">
        <v>134</v>
      </c>
      <c r="G20" s="5" t="n">
        <v>4</v>
      </c>
      <c r="H20" s="5" t="n">
        <v>11</v>
      </c>
      <c r="I20" s="5" t="n">
        <v>8</v>
      </c>
      <c r="J20" s="5" t="n">
        <v>5</v>
      </c>
      <c r="K20" s="5" t="n">
        <v>2</v>
      </c>
      <c r="L20" s="5" t="n">
        <v>6</v>
      </c>
      <c r="M20" s="4" t="s">
        <v>120</v>
      </c>
      <c r="N20" s="4" t="s">
        <v>42</v>
      </c>
      <c r="O20" s="4" t="s">
        <v>135</v>
      </c>
      <c r="P20" s="6" t="n">
        <f aca="false">SUM(G20:L20)</f>
        <v>36</v>
      </c>
      <c r="Q20" s="7" t="str">
        <f aca="false">IF(P20&gt;=75,"Hot",IF(P20&gt;=50,"Warm","Cold"))</f>
        <v>Cold</v>
      </c>
    </row>
    <row r="21" customFormat="false" ht="23.85" hidden="false" customHeight="false" outlineLevel="0" collapsed="false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23</v>
      </c>
      <c r="F21" s="4" t="s">
        <v>105</v>
      </c>
      <c r="G21" s="5" t="n">
        <v>17</v>
      </c>
      <c r="H21" s="5" t="n">
        <v>13</v>
      </c>
      <c r="I21" s="5" t="n">
        <v>9</v>
      </c>
      <c r="J21" s="5" t="n">
        <v>7</v>
      </c>
      <c r="K21" s="5" t="n">
        <v>10</v>
      </c>
      <c r="L21" s="5" t="n">
        <v>7</v>
      </c>
      <c r="M21" s="4" t="s">
        <v>140</v>
      </c>
      <c r="N21" s="4" t="s">
        <v>42</v>
      </c>
      <c r="O21" s="4" t="s">
        <v>141</v>
      </c>
      <c r="P21" s="6" t="n">
        <f aca="false">SUM(G21:L21)</f>
        <v>63</v>
      </c>
      <c r="Q21" s="7" t="str">
        <f aca="false">IF(P21&gt;=75,"Hot",IF(P21&gt;=50,"Warm","Cold"))</f>
        <v>Warm</v>
      </c>
    </row>
    <row r="22" customFormat="false" ht="35.05" hidden="false" customHeight="false" outlineLevel="0" collapsed="false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5" t="n">
        <v>20</v>
      </c>
      <c r="H22" s="5" t="n">
        <v>17</v>
      </c>
      <c r="I22" s="5" t="n">
        <v>13</v>
      </c>
      <c r="J22" s="5" t="n">
        <v>11</v>
      </c>
      <c r="K22" s="5" t="n">
        <v>15</v>
      </c>
      <c r="L22" s="5" t="n">
        <v>14</v>
      </c>
      <c r="M22" s="4" t="s">
        <v>148</v>
      </c>
      <c r="N22" s="4" t="s">
        <v>42</v>
      </c>
      <c r="O22" s="4" t="s">
        <v>149</v>
      </c>
      <c r="P22" s="6" t="n">
        <f aca="false">SUM(G22:L22)</f>
        <v>90</v>
      </c>
      <c r="Q22" s="7" t="str">
        <f aca="false">IF(P22&gt;=75,"Hot",IF(P22&gt;=50,"Warm","Cold"))</f>
        <v>Hot</v>
      </c>
    </row>
    <row r="23" customFormat="false" ht="23.85" hidden="false" customHeight="false" outlineLevel="0" collapsed="false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5" t="n">
        <v>16</v>
      </c>
      <c r="H23" s="5" t="n">
        <v>13</v>
      </c>
      <c r="I23" s="5" t="n">
        <v>9</v>
      </c>
      <c r="J23" s="5" t="n">
        <v>9</v>
      </c>
      <c r="K23" s="5" t="n">
        <v>10</v>
      </c>
      <c r="L23" s="5" t="n">
        <v>7</v>
      </c>
      <c r="M23" s="4" t="s">
        <v>156</v>
      </c>
      <c r="N23" s="4" t="s">
        <v>42</v>
      </c>
      <c r="O23" s="4" t="s">
        <v>157</v>
      </c>
      <c r="P23" s="6" t="n">
        <f aca="false">SUM(G23:L23)</f>
        <v>64</v>
      </c>
      <c r="Q23" s="7" t="str">
        <f aca="false">IF(P23&gt;=75,"Hot",IF(P23&gt;=50,"Warm","Cold"))</f>
        <v>Warm</v>
      </c>
    </row>
    <row r="24" customFormat="false" ht="23.85" hidden="false" customHeight="false" outlineLevel="0" collapsed="false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5" t="n">
        <v>10</v>
      </c>
      <c r="H24" s="5" t="n">
        <v>11</v>
      </c>
      <c r="I24" s="5" t="n">
        <v>4</v>
      </c>
      <c r="J24" s="5" t="n">
        <v>6</v>
      </c>
      <c r="K24" s="5" t="n">
        <v>3</v>
      </c>
      <c r="L24" s="5" t="n">
        <v>4</v>
      </c>
      <c r="M24" s="4" t="s">
        <v>164</v>
      </c>
      <c r="N24" s="4" t="s">
        <v>34</v>
      </c>
      <c r="O24" s="4" t="s">
        <v>165</v>
      </c>
      <c r="P24" s="6" t="n">
        <f aca="false">SUM(G24:L24)</f>
        <v>38</v>
      </c>
      <c r="Q24" s="7" t="str">
        <f aca="false">IF(P24&gt;=75,"Hot",IF(P24&gt;=50,"Warm","Cold"))</f>
        <v>Cold</v>
      </c>
    </row>
    <row r="25" customFormat="false" ht="23.85" hidden="false" customHeight="false" outlineLevel="0" collapsed="false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162</v>
      </c>
      <c r="F25" s="4" t="s">
        <v>170</v>
      </c>
      <c r="G25" s="5" t="n">
        <v>18</v>
      </c>
      <c r="H25" s="5" t="n">
        <v>14</v>
      </c>
      <c r="I25" s="5" t="n">
        <v>10</v>
      </c>
      <c r="J25" s="5" t="n">
        <v>10</v>
      </c>
      <c r="K25" s="5" t="n">
        <v>9</v>
      </c>
      <c r="L25" s="5" t="n">
        <v>8</v>
      </c>
      <c r="M25" s="4" t="s">
        <v>171</v>
      </c>
      <c r="N25" s="4" t="s">
        <v>42</v>
      </c>
      <c r="O25" s="4" t="s">
        <v>172</v>
      </c>
      <c r="P25" s="6" t="n">
        <f aca="false">SUM(G25:L25)</f>
        <v>69</v>
      </c>
      <c r="Q25" s="7" t="str">
        <f aca="false">IF(P25&gt;=75,"Hot",IF(P25&gt;=50,"Warm","Cold"))</f>
        <v>Warm</v>
      </c>
    </row>
    <row r="26" customFormat="false" ht="23.85" hidden="false" customHeight="false" outlineLevel="0" collapsed="false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98</v>
      </c>
      <c r="F26" s="4" t="s">
        <v>177</v>
      </c>
      <c r="G26" s="5" t="n">
        <v>18</v>
      </c>
      <c r="H26" s="5" t="n">
        <v>15</v>
      </c>
      <c r="I26" s="5" t="n">
        <v>10</v>
      </c>
      <c r="J26" s="5" t="n">
        <v>12</v>
      </c>
      <c r="K26" s="5" t="n">
        <v>6</v>
      </c>
      <c r="L26" s="5" t="n">
        <v>7</v>
      </c>
      <c r="M26" s="4" t="s">
        <v>178</v>
      </c>
      <c r="N26" s="4" t="s">
        <v>42</v>
      </c>
      <c r="O26" s="4" t="s">
        <v>179</v>
      </c>
      <c r="P26" s="6" t="n">
        <f aca="false">SUM(G26:L26)</f>
        <v>68</v>
      </c>
      <c r="Q26" s="7" t="str">
        <f aca="false">IF(P26&gt;=75,"Hot",IF(P26&gt;=50,"Warm","Cold"))</f>
        <v>Warm</v>
      </c>
    </row>
    <row r="27" customFormat="false" ht="23.85" hidden="false" customHeight="false" outlineLevel="0" collapsed="false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5" t="n">
        <v>16</v>
      </c>
      <c r="H27" s="5" t="n">
        <v>13</v>
      </c>
      <c r="I27" s="5" t="n">
        <v>9</v>
      </c>
      <c r="J27" s="5" t="n">
        <v>8</v>
      </c>
      <c r="K27" s="5" t="n">
        <v>5</v>
      </c>
      <c r="L27" s="5" t="n">
        <v>6</v>
      </c>
      <c r="M27" s="4" t="s">
        <v>186</v>
      </c>
      <c r="N27" s="4" t="s">
        <v>42</v>
      </c>
      <c r="O27" s="4" t="s">
        <v>187</v>
      </c>
      <c r="P27" s="6" t="n">
        <f aca="false">SUM(G27:L27)</f>
        <v>57</v>
      </c>
      <c r="Q27" s="7" t="str">
        <f aca="false">IF(P27&gt;=75,"Hot",IF(P27&gt;=50,"Warm","Cold"))</f>
        <v>Warm</v>
      </c>
    </row>
    <row r="28" customFormat="false" ht="23.85" hidden="false" customHeight="false" outlineLevel="0" collapsed="false">
      <c r="A28" s="4" t="s">
        <v>188</v>
      </c>
      <c r="B28" s="4" t="s">
        <v>189</v>
      </c>
      <c r="C28" s="4" t="s">
        <v>190</v>
      </c>
      <c r="D28" s="4" t="s">
        <v>191</v>
      </c>
      <c r="E28" s="4" t="s">
        <v>146</v>
      </c>
      <c r="F28" s="4" t="s">
        <v>185</v>
      </c>
      <c r="G28" s="5" t="n">
        <v>15</v>
      </c>
      <c r="H28" s="5" t="n">
        <v>12</v>
      </c>
      <c r="I28" s="5" t="n">
        <v>7</v>
      </c>
      <c r="J28" s="5" t="n">
        <v>5</v>
      </c>
      <c r="K28" s="5" t="n">
        <v>5</v>
      </c>
      <c r="L28" s="5" t="n">
        <v>5</v>
      </c>
      <c r="M28" s="4" t="s">
        <v>63</v>
      </c>
      <c r="N28" s="4" t="s">
        <v>42</v>
      </c>
      <c r="O28" s="4" t="s">
        <v>192</v>
      </c>
      <c r="P28" s="6" t="n">
        <f aca="false">SUM(G28:L28)</f>
        <v>49</v>
      </c>
      <c r="Q28" s="7" t="str">
        <f aca="false">IF(P28&gt;=75,"Hot",IF(P28&gt;=50,"Warm","Cold"))</f>
        <v>Cold</v>
      </c>
    </row>
    <row r="29" customFormat="false" ht="23.85" hidden="false" customHeight="false" outlineLevel="0" collapsed="false">
      <c r="A29" s="4" t="s">
        <v>193</v>
      </c>
      <c r="B29" s="4" t="s">
        <v>194</v>
      </c>
      <c r="C29" s="4" t="s">
        <v>195</v>
      </c>
      <c r="D29" s="4" t="s">
        <v>196</v>
      </c>
      <c r="E29" s="4" t="s">
        <v>162</v>
      </c>
      <c r="F29" s="4" t="s">
        <v>197</v>
      </c>
      <c r="G29" s="5" t="n">
        <v>17</v>
      </c>
      <c r="H29" s="5" t="n">
        <v>13</v>
      </c>
      <c r="I29" s="5" t="n">
        <v>9</v>
      </c>
      <c r="J29" s="5" t="n">
        <v>8</v>
      </c>
      <c r="K29" s="5" t="n">
        <v>6</v>
      </c>
      <c r="L29" s="5" t="n">
        <v>6</v>
      </c>
      <c r="M29" s="4" t="s">
        <v>186</v>
      </c>
      <c r="N29" s="4" t="s">
        <v>42</v>
      </c>
      <c r="O29" s="4" t="s">
        <v>198</v>
      </c>
      <c r="P29" s="6" t="n">
        <f aca="false">SUM(G29:L29)</f>
        <v>59</v>
      </c>
      <c r="Q29" s="7" t="str">
        <f aca="false">IF(P29&gt;=75,"Hot",IF(P29&gt;=50,"Warm","Cold"))</f>
        <v>Warm</v>
      </c>
    </row>
    <row r="30" customFormat="false" ht="23.85" hidden="false" customHeight="false" outlineLevel="0" collapsed="false">
      <c r="A30" s="4" t="s">
        <v>199</v>
      </c>
      <c r="B30" s="4" t="s">
        <v>200</v>
      </c>
      <c r="C30" s="4" t="s">
        <v>201</v>
      </c>
      <c r="D30" s="4" t="s">
        <v>30</v>
      </c>
      <c r="E30" s="4" t="s">
        <v>202</v>
      </c>
      <c r="F30" s="4" t="s">
        <v>203</v>
      </c>
      <c r="G30" s="5" t="n">
        <v>12</v>
      </c>
      <c r="H30" s="5" t="n">
        <v>10</v>
      </c>
      <c r="I30" s="5" t="n">
        <v>2</v>
      </c>
      <c r="J30" s="5" t="n">
        <v>5</v>
      </c>
      <c r="K30" s="5" t="n">
        <v>3</v>
      </c>
      <c r="L30" s="5" t="n">
        <v>3</v>
      </c>
      <c r="M30" s="4" t="s">
        <v>186</v>
      </c>
      <c r="N30" s="4" t="s">
        <v>34</v>
      </c>
      <c r="O30" s="4" t="s">
        <v>204</v>
      </c>
      <c r="P30" s="6" t="n">
        <f aca="false">SUM(G30:L30)</f>
        <v>35</v>
      </c>
      <c r="Q30" s="7" t="str">
        <f aca="false">IF(P30&gt;=75,"Hot",IF(P30&gt;=50,"Warm","Cold"))</f>
        <v>Cold</v>
      </c>
    </row>
    <row r="31" customFormat="false" ht="35.05" hidden="false" customHeight="false" outlineLevel="0" collapsed="false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5" t="n">
        <v>19</v>
      </c>
      <c r="H31" s="5" t="n">
        <v>14</v>
      </c>
      <c r="I31" s="5" t="n">
        <v>10</v>
      </c>
      <c r="J31" s="5" t="n">
        <v>6</v>
      </c>
      <c r="K31" s="5" t="n">
        <v>13</v>
      </c>
      <c r="L31" s="5" t="n">
        <v>12</v>
      </c>
      <c r="M31" s="4" t="s">
        <v>211</v>
      </c>
      <c r="N31" s="4" t="s">
        <v>42</v>
      </c>
      <c r="O31" s="4" t="s">
        <v>212</v>
      </c>
      <c r="P31" s="6" t="n">
        <f aca="false">SUM(G31:L31)</f>
        <v>74</v>
      </c>
      <c r="Q31" s="7" t="str">
        <f aca="false">IF(P31&gt;=75,"Hot",IF(P31&gt;=50,"Warm","Cold"))</f>
        <v>Warm</v>
      </c>
    </row>
    <row r="32" customFormat="false" ht="35.05" hidden="false" customHeight="false" outlineLevel="0" collapsed="false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23</v>
      </c>
      <c r="F32" s="4" t="s">
        <v>217</v>
      </c>
      <c r="G32" s="5" t="n">
        <v>18</v>
      </c>
      <c r="H32" s="5" t="n">
        <v>15</v>
      </c>
      <c r="I32" s="5" t="n">
        <v>10</v>
      </c>
      <c r="J32" s="5" t="n">
        <v>6</v>
      </c>
      <c r="K32" s="5" t="n">
        <v>14</v>
      </c>
      <c r="L32" s="5" t="n">
        <v>10</v>
      </c>
      <c r="M32" s="4" t="s">
        <v>218</v>
      </c>
      <c r="N32" s="4" t="s">
        <v>42</v>
      </c>
      <c r="O32" s="4" t="s">
        <v>219</v>
      </c>
      <c r="P32" s="6" t="n">
        <f aca="false">SUM(G32:L32)</f>
        <v>73</v>
      </c>
      <c r="Q32" s="7" t="str">
        <f aca="false">IF(P32&gt;=75,"Hot",IF(P32&gt;=50,"Warm","Cold"))</f>
        <v>Warm</v>
      </c>
    </row>
    <row r="33" customFormat="false" ht="35.05" hidden="false" customHeight="false" outlineLevel="0" collapsed="false">
      <c r="A33" s="4" t="s">
        <v>220</v>
      </c>
      <c r="B33" s="4" t="s">
        <v>221</v>
      </c>
      <c r="C33" s="4" t="s">
        <v>175</v>
      </c>
      <c r="D33" s="4" t="s">
        <v>222</v>
      </c>
      <c r="E33" s="4" t="s">
        <v>223</v>
      </c>
      <c r="F33" s="4" t="s">
        <v>224</v>
      </c>
      <c r="G33" s="5" t="n">
        <v>19</v>
      </c>
      <c r="H33" s="5" t="n">
        <v>15</v>
      </c>
      <c r="I33" s="5" t="n">
        <v>6</v>
      </c>
      <c r="J33" s="5" t="n">
        <v>9</v>
      </c>
      <c r="K33" s="5" t="n">
        <v>14</v>
      </c>
      <c r="L33" s="5" t="n">
        <v>11</v>
      </c>
      <c r="M33" s="4" t="s">
        <v>225</v>
      </c>
      <c r="N33" s="4" t="s">
        <v>42</v>
      </c>
      <c r="O33" s="4" t="s">
        <v>226</v>
      </c>
      <c r="P33" s="6" t="n">
        <f aca="false">SUM(G33:L33)</f>
        <v>74</v>
      </c>
      <c r="Q33" s="7" t="str">
        <f aca="false">IF(P33&gt;=75,"Hot",IF(P33&gt;=50,"Warm","Cold"))</f>
        <v>Warm</v>
      </c>
    </row>
    <row r="34" customFormat="false" ht="35.05" hidden="false" customHeight="false" outlineLevel="0" collapsed="false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162</v>
      </c>
      <c r="F34" s="4" t="s">
        <v>231</v>
      </c>
      <c r="G34" s="5" t="n">
        <v>16</v>
      </c>
      <c r="H34" s="5" t="n">
        <v>13</v>
      </c>
      <c r="I34" s="5" t="n">
        <v>9</v>
      </c>
      <c r="J34" s="5" t="n">
        <v>5</v>
      </c>
      <c r="K34" s="5" t="n">
        <v>9</v>
      </c>
      <c r="L34" s="5" t="n">
        <v>6</v>
      </c>
      <c r="M34" s="4" t="s">
        <v>63</v>
      </c>
      <c r="N34" s="4" t="s">
        <v>42</v>
      </c>
      <c r="O34" s="4" t="s">
        <v>232</v>
      </c>
      <c r="P34" s="6" t="n">
        <f aca="false">SUM(G34:L34)</f>
        <v>58</v>
      </c>
      <c r="Q34" s="7" t="str">
        <f aca="false">IF(P34&gt;=75,"Hot",IF(P34&gt;=50,"Warm","Cold"))</f>
        <v>Warm</v>
      </c>
    </row>
    <row r="35" customFormat="false" ht="35.05" hidden="false" customHeight="false" outlineLevel="0" collapsed="false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126</v>
      </c>
      <c r="F35" s="4" t="s">
        <v>237</v>
      </c>
      <c r="G35" s="5" t="n">
        <v>6</v>
      </c>
      <c r="H35" s="5" t="n">
        <v>14</v>
      </c>
      <c r="I35" s="5" t="n">
        <v>14</v>
      </c>
      <c r="J35" s="5" t="n">
        <v>8</v>
      </c>
      <c r="K35" s="5" t="n">
        <v>15</v>
      </c>
      <c r="L35" s="5" t="n">
        <v>15</v>
      </c>
      <c r="M35" s="4" t="s">
        <v>238</v>
      </c>
      <c r="N35" s="4" t="s">
        <v>42</v>
      </c>
      <c r="O35" s="4" t="s">
        <v>239</v>
      </c>
      <c r="P35" s="6" t="n">
        <f aca="false">SUM(G35:L35)</f>
        <v>72</v>
      </c>
      <c r="Q35" s="7" t="str">
        <f aca="false">IF(P35&gt;=75,"Hot",IF(P35&gt;=50,"Warm","Cold"))</f>
        <v>Warm</v>
      </c>
    </row>
    <row r="36" customFormat="false" ht="23.85" hidden="false" customHeight="false" outlineLevel="0" collapsed="false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98</v>
      </c>
      <c r="F36" s="4" t="s">
        <v>244</v>
      </c>
      <c r="G36" s="5" t="n">
        <v>8</v>
      </c>
      <c r="H36" s="5" t="n">
        <v>12</v>
      </c>
      <c r="I36" s="5" t="n">
        <v>9</v>
      </c>
      <c r="J36" s="5" t="n">
        <v>12</v>
      </c>
      <c r="K36" s="5" t="n">
        <v>5</v>
      </c>
      <c r="L36" s="5" t="n">
        <v>6</v>
      </c>
      <c r="M36" s="4" t="s">
        <v>245</v>
      </c>
      <c r="N36" s="4" t="s">
        <v>42</v>
      </c>
      <c r="O36" s="4" t="s">
        <v>246</v>
      </c>
      <c r="P36" s="6" t="n">
        <f aca="false">SUM(G36:L36)</f>
        <v>52</v>
      </c>
      <c r="Q36" s="7" t="str">
        <f aca="false">IF(P36&gt;=75,"Hot",IF(P36&gt;=50,"Warm","Cold"))</f>
        <v>Warm</v>
      </c>
    </row>
    <row r="37" customFormat="false" ht="23.85" hidden="false" customHeight="false" outlineLevel="0" collapsed="false">
      <c r="A37" s="4" t="s">
        <v>247</v>
      </c>
      <c r="B37" s="4" t="s">
        <v>248</v>
      </c>
      <c r="C37" s="4" t="s">
        <v>249</v>
      </c>
      <c r="D37" s="4" t="s">
        <v>30</v>
      </c>
      <c r="E37" s="4" t="s">
        <v>98</v>
      </c>
      <c r="F37" s="4" t="s">
        <v>250</v>
      </c>
      <c r="G37" s="5" t="n">
        <v>6</v>
      </c>
      <c r="H37" s="5" t="n">
        <v>8</v>
      </c>
      <c r="I37" s="5" t="n">
        <v>2</v>
      </c>
      <c r="J37" s="5" t="n">
        <v>1</v>
      </c>
      <c r="K37" s="5" t="n">
        <v>2</v>
      </c>
      <c r="L37" s="5" t="n">
        <v>3</v>
      </c>
      <c r="M37" s="4" t="s">
        <v>251</v>
      </c>
      <c r="N37" s="4" t="s">
        <v>34</v>
      </c>
      <c r="O37" s="4" t="s">
        <v>252</v>
      </c>
      <c r="P37" s="6" t="n">
        <f aca="false">SUM(G37:L37)</f>
        <v>22</v>
      </c>
      <c r="Q37" s="7" t="str">
        <f aca="false">IF(P37&gt;=75,"Hot",IF(P37&gt;=50,"Warm","Cold"))</f>
        <v>Cold</v>
      </c>
    </row>
    <row r="38" customFormat="false" ht="23.85" hidden="false" customHeight="false" outlineLevel="0" collapsed="false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98</v>
      </c>
      <c r="F38" s="4" t="s">
        <v>257</v>
      </c>
      <c r="G38" s="5" t="n">
        <v>8</v>
      </c>
      <c r="H38" s="5" t="n">
        <v>11</v>
      </c>
      <c r="I38" s="5" t="n">
        <v>9</v>
      </c>
      <c r="J38" s="5" t="n">
        <v>6</v>
      </c>
      <c r="K38" s="5" t="n">
        <v>4</v>
      </c>
      <c r="L38" s="5" t="n">
        <v>6</v>
      </c>
      <c r="M38" s="4" t="s">
        <v>186</v>
      </c>
      <c r="N38" s="4" t="s">
        <v>42</v>
      </c>
      <c r="O38" s="4" t="s">
        <v>258</v>
      </c>
      <c r="P38" s="6" t="n">
        <f aca="false">SUM(G38:L38)</f>
        <v>44</v>
      </c>
      <c r="Q38" s="7" t="str">
        <f aca="false">IF(P38&gt;=75,"Hot",IF(P38&gt;=50,"Warm","Cold"))</f>
        <v>Cold</v>
      </c>
    </row>
    <row r="39" customFormat="false" ht="23.85" hidden="false" customHeight="false" outlineLevel="0" collapsed="false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23</v>
      </c>
      <c r="F39" s="4" t="s">
        <v>263</v>
      </c>
      <c r="G39" s="5" t="n">
        <v>6</v>
      </c>
      <c r="H39" s="5" t="n">
        <v>10</v>
      </c>
      <c r="I39" s="5" t="n">
        <v>8</v>
      </c>
      <c r="J39" s="5" t="n">
        <v>3</v>
      </c>
      <c r="K39" s="5" t="n">
        <v>3</v>
      </c>
      <c r="L39" s="5" t="n">
        <v>5</v>
      </c>
      <c r="M39" s="4" t="s">
        <v>63</v>
      </c>
      <c r="N39" s="4" t="s">
        <v>42</v>
      </c>
      <c r="O39" s="4" t="s">
        <v>264</v>
      </c>
      <c r="P39" s="6" t="n">
        <f aca="false">SUM(G39:L39)</f>
        <v>35</v>
      </c>
      <c r="Q39" s="7" t="str">
        <f aca="false">IF(P39&gt;=75,"Hot",IF(P39&gt;=50,"Warm","Cold"))</f>
        <v>Cold</v>
      </c>
    </row>
    <row r="40" customFormat="false" ht="23.85" hidden="false" customHeight="false" outlineLevel="0" collapsed="false">
      <c r="A40" s="4" t="s">
        <v>265</v>
      </c>
      <c r="B40" s="4" t="s">
        <v>266</v>
      </c>
      <c r="C40" s="4" t="s">
        <v>267</v>
      </c>
      <c r="D40" s="4" t="s">
        <v>30</v>
      </c>
      <c r="E40" s="4" t="s">
        <v>126</v>
      </c>
      <c r="F40" s="4" t="s">
        <v>268</v>
      </c>
      <c r="G40" s="5" t="n">
        <v>5</v>
      </c>
      <c r="H40" s="5" t="n">
        <v>8</v>
      </c>
      <c r="I40" s="5" t="n">
        <v>2</v>
      </c>
      <c r="J40" s="5" t="n">
        <v>1</v>
      </c>
      <c r="K40" s="5" t="n">
        <v>6</v>
      </c>
      <c r="L40" s="5" t="n">
        <v>6</v>
      </c>
      <c r="M40" s="4" t="s">
        <v>251</v>
      </c>
      <c r="N40" s="4" t="s">
        <v>34</v>
      </c>
      <c r="O40" s="4" t="s">
        <v>269</v>
      </c>
      <c r="P40" s="6" t="n">
        <f aca="false">SUM(G40:L40)</f>
        <v>28</v>
      </c>
      <c r="Q40" s="7" t="str">
        <f aca="false">IF(P40&gt;=75,"Hot",IF(P40&gt;=50,"Warm","Cold"))</f>
        <v>Cold</v>
      </c>
    </row>
    <row r="41" customFormat="false" ht="35.05" hidden="false" customHeight="false" outlineLevel="0" collapsed="false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5" t="n">
        <v>6</v>
      </c>
      <c r="H41" s="5" t="n">
        <v>13</v>
      </c>
      <c r="I41" s="5" t="n">
        <v>12</v>
      </c>
      <c r="J41" s="5" t="n">
        <v>3</v>
      </c>
      <c r="K41" s="5" t="n">
        <v>10</v>
      </c>
      <c r="L41" s="5" t="n">
        <v>15</v>
      </c>
      <c r="M41" s="4" t="s">
        <v>276</v>
      </c>
      <c r="N41" s="4" t="s">
        <v>42</v>
      </c>
      <c r="O41" s="4" t="s">
        <v>277</v>
      </c>
      <c r="P41" s="6" t="n">
        <f aca="false">SUM(G41:L41)</f>
        <v>59</v>
      </c>
      <c r="Q41" s="7" t="str">
        <f aca="false">IF(P41&gt;=75,"Hot",IF(P41&gt;=50,"Warm","Cold"))</f>
        <v>Warm</v>
      </c>
    </row>
    <row r="42" customFormat="false" ht="23.85" hidden="false" customHeight="false" outlineLevel="0" collapsed="false">
      <c r="A42" s="4" t="s">
        <v>278</v>
      </c>
      <c r="B42" s="4" t="s">
        <v>279</v>
      </c>
      <c r="C42" s="4" t="s">
        <v>280</v>
      </c>
      <c r="D42" s="4" t="s">
        <v>30</v>
      </c>
      <c r="E42" s="4" t="s">
        <v>162</v>
      </c>
      <c r="F42" s="4" t="s">
        <v>281</v>
      </c>
      <c r="G42" s="5" t="n">
        <v>6</v>
      </c>
      <c r="H42" s="5" t="n">
        <v>8</v>
      </c>
      <c r="I42" s="5" t="n">
        <v>2</v>
      </c>
      <c r="J42" s="5" t="n">
        <v>1</v>
      </c>
      <c r="K42" s="5" t="n">
        <v>2</v>
      </c>
      <c r="L42" s="5" t="n">
        <v>3</v>
      </c>
      <c r="M42" s="4" t="s">
        <v>251</v>
      </c>
      <c r="N42" s="4" t="s">
        <v>34</v>
      </c>
      <c r="O42" s="4" t="s">
        <v>282</v>
      </c>
      <c r="P42" s="6" t="n">
        <f aca="false">SUM(G42:L42)</f>
        <v>22</v>
      </c>
      <c r="Q42" s="7" t="str">
        <f aca="false">IF(P42&gt;=75,"Hot",IF(P42&gt;=50,"Warm","Cold"))</f>
        <v>Cold</v>
      </c>
    </row>
    <row r="43" customFormat="false" ht="35.05" hidden="false" customHeight="false" outlineLevel="0" collapsed="false">
      <c r="A43" s="4" t="s">
        <v>283</v>
      </c>
      <c r="B43" s="4" t="s">
        <v>284</v>
      </c>
      <c r="C43" s="4" t="s">
        <v>285</v>
      </c>
      <c r="D43" s="4" t="s">
        <v>30</v>
      </c>
      <c r="E43" s="4" t="s">
        <v>162</v>
      </c>
      <c r="F43" s="4" t="s">
        <v>286</v>
      </c>
      <c r="G43" s="5" t="n">
        <v>14</v>
      </c>
      <c r="H43" s="5" t="n">
        <v>10</v>
      </c>
      <c r="I43" s="5" t="n">
        <v>3</v>
      </c>
      <c r="J43" s="5" t="n">
        <v>5</v>
      </c>
      <c r="K43" s="5" t="n">
        <v>10</v>
      </c>
      <c r="L43" s="5" t="n">
        <v>8</v>
      </c>
      <c r="M43" s="4" t="s">
        <v>287</v>
      </c>
      <c r="N43" s="4" t="s">
        <v>42</v>
      </c>
      <c r="O43" s="4" t="s">
        <v>288</v>
      </c>
      <c r="P43" s="6" t="n">
        <f aca="false">SUM(G43:L43)</f>
        <v>50</v>
      </c>
      <c r="Q43" s="7" t="str">
        <f aca="false">IF(P43&gt;=75,"Hot",IF(P43&gt;=50,"Warm","Cold"))</f>
        <v>Warm</v>
      </c>
    </row>
    <row r="44" customFormat="false" ht="35.05" hidden="false" customHeight="false" outlineLevel="0" collapsed="false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5" t="n">
        <v>19</v>
      </c>
      <c r="H44" s="5" t="n">
        <v>20</v>
      </c>
      <c r="I44" s="5" t="n">
        <v>12</v>
      </c>
      <c r="J44" s="5" t="n">
        <v>13</v>
      </c>
      <c r="K44" s="5" t="n">
        <v>8</v>
      </c>
      <c r="L44" s="5" t="n">
        <v>8</v>
      </c>
      <c r="M44" s="4" t="s">
        <v>295</v>
      </c>
      <c r="N44" s="4" t="s">
        <v>42</v>
      </c>
      <c r="O44" s="4" t="s">
        <v>296</v>
      </c>
      <c r="P44" s="6" t="n">
        <f aca="false">SUM(G44:L44)</f>
        <v>80</v>
      </c>
      <c r="Q44" s="7" t="str">
        <f aca="false">IF(P44&gt;=75,"Hot",IF(P44&gt;=50,"Warm","Cold"))</f>
        <v>Hot</v>
      </c>
    </row>
    <row r="45" customFormat="false" ht="46.25" hidden="false" customHeight="false" outlineLevel="0" collapsed="false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98</v>
      </c>
      <c r="F45" s="4" t="s">
        <v>301</v>
      </c>
      <c r="G45" s="5" t="n">
        <v>20</v>
      </c>
      <c r="H45" s="5" t="n">
        <v>17</v>
      </c>
      <c r="I45" s="5" t="n">
        <v>13</v>
      </c>
      <c r="J45" s="5" t="n">
        <v>13</v>
      </c>
      <c r="K45" s="5" t="n">
        <v>15</v>
      </c>
      <c r="L45" s="5" t="n">
        <v>14</v>
      </c>
      <c r="M45" s="4" t="s">
        <v>302</v>
      </c>
      <c r="N45" s="4" t="s">
        <v>42</v>
      </c>
      <c r="O45" s="4" t="s">
        <v>303</v>
      </c>
      <c r="P45" s="6" t="n">
        <f aca="false">SUM(G45:L45)</f>
        <v>92</v>
      </c>
      <c r="Q45" s="7" t="str">
        <f aca="false">IF(P45&gt;=75,"Hot",IF(P45&gt;=50,"Warm","Cold"))</f>
        <v>Hot</v>
      </c>
    </row>
    <row r="46" customFormat="false" ht="35.05" hidden="false" customHeight="false" outlineLevel="0" collapsed="false">
      <c r="A46" s="4" t="s">
        <v>304</v>
      </c>
      <c r="B46" s="4" t="s">
        <v>305</v>
      </c>
      <c r="C46" s="4" t="s">
        <v>299</v>
      </c>
      <c r="D46" s="4" t="s">
        <v>306</v>
      </c>
      <c r="E46" s="4" t="s">
        <v>98</v>
      </c>
      <c r="F46" s="4" t="s">
        <v>307</v>
      </c>
      <c r="G46" s="5" t="n">
        <v>17</v>
      </c>
      <c r="H46" s="5" t="n">
        <v>15</v>
      </c>
      <c r="I46" s="5" t="n">
        <v>10</v>
      </c>
      <c r="J46" s="5" t="n">
        <v>12</v>
      </c>
      <c r="K46" s="5" t="n">
        <v>7</v>
      </c>
      <c r="L46" s="5" t="n">
        <v>7</v>
      </c>
      <c r="M46" s="4" t="s">
        <v>308</v>
      </c>
      <c r="N46" s="4" t="s">
        <v>42</v>
      </c>
      <c r="O46" s="4" t="s">
        <v>309</v>
      </c>
      <c r="P46" s="6" t="n">
        <f aca="false">SUM(G46:L46)</f>
        <v>68</v>
      </c>
      <c r="Q46" s="7" t="str">
        <f aca="false">IF(P46&gt;=75,"Hot",IF(P46&gt;=50,"Warm","Cold"))</f>
        <v>Warm</v>
      </c>
    </row>
    <row r="47" customFormat="false" ht="35.05" hidden="false" customHeight="false" outlineLevel="0" collapsed="false">
      <c r="A47" s="4" t="s">
        <v>310</v>
      </c>
      <c r="B47" s="4" t="s">
        <v>311</v>
      </c>
      <c r="C47" s="4" t="s">
        <v>299</v>
      </c>
      <c r="D47" s="4" t="s">
        <v>312</v>
      </c>
      <c r="E47" s="4" t="s">
        <v>98</v>
      </c>
      <c r="F47" s="4" t="s">
        <v>177</v>
      </c>
      <c r="G47" s="5" t="n">
        <v>18</v>
      </c>
      <c r="H47" s="5" t="n">
        <v>16</v>
      </c>
      <c r="I47" s="5" t="n">
        <v>10</v>
      </c>
      <c r="J47" s="5" t="n">
        <v>13</v>
      </c>
      <c r="K47" s="5" t="n">
        <v>8</v>
      </c>
      <c r="L47" s="5" t="n">
        <v>8</v>
      </c>
      <c r="M47" s="4" t="s">
        <v>313</v>
      </c>
      <c r="N47" s="4" t="s">
        <v>26</v>
      </c>
      <c r="O47" s="4" t="s">
        <v>314</v>
      </c>
      <c r="P47" s="6" t="n">
        <f aca="false">SUM(G47:L47)</f>
        <v>73</v>
      </c>
      <c r="Q47" s="7" t="str">
        <f aca="false">IF(P47&gt;=75,"Hot",IF(P47&gt;=50,"Warm","Cold"))</f>
        <v>Warm</v>
      </c>
    </row>
    <row r="48" customFormat="false" ht="23.85" hidden="false" customHeight="false" outlineLevel="0" collapsed="false">
      <c r="A48" s="4" t="s">
        <v>315</v>
      </c>
      <c r="B48" s="4" t="s">
        <v>316</v>
      </c>
      <c r="C48" s="4" t="s">
        <v>299</v>
      </c>
      <c r="D48" s="4" t="s">
        <v>317</v>
      </c>
      <c r="E48" s="4" t="s">
        <v>98</v>
      </c>
      <c r="F48" s="4" t="s">
        <v>318</v>
      </c>
      <c r="G48" s="5" t="n">
        <v>17</v>
      </c>
      <c r="H48" s="5" t="n">
        <v>15</v>
      </c>
      <c r="I48" s="5" t="n">
        <v>10</v>
      </c>
      <c r="J48" s="5" t="n">
        <v>12</v>
      </c>
      <c r="K48" s="5" t="n">
        <v>7</v>
      </c>
      <c r="L48" s="5" t="n">
        <v>6</v>
      </c>
      <c r="M48" s="4" t="s">
        <v>319</v>
      </c>
      <c r="N48" s="4" t="s">
        <v>42</v>
      </c>
      <c r="O48" s="4" t="s">
        <v>320</v>
      </c>
      <c r="P48" s="6" t="n">
        <f aca="false">SUM(G48:L48)</f>
        <v>67</v>
      </c>
      <c r="Q48" s="7" t="str">
        <f aca="false">IF(P48&gt;=75,"Hot",IF(P48&gt;=50,"Warm","Cold"))</f>
        <v>Warm</v>
      </c>
    </row>
    <row r="49" customFormat="false" ht="35.05" hidden="false" customHeight="false" outlineLevel="0" collapsed="false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98</v>
      </c>
      <c r="F49" s="4" t="s">
        <v>105</v>
      </c>
      <c r="G49" s="5" t="n">
        <v>18</v>
      </c>
      <c r="H49" s="5" t="n">
        <v>15</v>
      </c>
      <c r="I49" s="5" t="n">
        <v>10</v>
      </c>
      <c r="J49" s="5" t="n">
        <v>9</v>
      </c>
      <c r="K49" s="5" t="n">
        <v>11</v>
      </c>
      <c r="L49" s="5" t="n">
        <v>8</v>
      </c>
      <c r="M49" s="4" t="s">
        <v>325</v>
      </c>
      <c r="N49" s="4" t="s">
        <v>42</v>
      </c>
      <c r="O49" s="4" t="s">
        <v>326</v>
      </c>
      <c r="P49" s="6" t="n">
        <f aca="false">SUM(G49:L49)</f>
        <v>71</v>
      </c>
      <c r="Q49" s="7" t="str">
        <f aca="false">IF(P49&gt;=75,"Hot",IF(P49&gt;=50,"Warm","Cold"))</f>
        <v>Warm</v>
      </c>
    </row>
    <row r="50" customFormat="false" ht="46.25" hidden="false" customHeight="false" outlineLevel="0" collapsed="false">
      <c r="A50" s="4" t="s">
        <v>327</v>
      </c>
      <c r="B50" s="4" t="s">
        <v>328</v>
      </c>
      <c r="C50" s="4" t="s">
        <v>323</v>
      </c>
      <c r="D50" s="4" t="s">
        <v>329</v>
      </c>
      <c r="E50" s="4" t="s">
        <v>162</v>
      </c>
      <c r="F50" s="4" t="s">
        <v>330</v>
      </c>
      <c r="G50" s="5" t="n">
        <v>19</v>
      </c>
      <c r="H50" s="5" t="n">
        <v>16</v>
      </c>
      <c r="I50" s="5" t="n">
        <v>12</v>
      </c>
      <c r="J50" s="5" t="n">
        <v>8</v>
      </c>
      <c r="K50" s="5" t="n">
        <v>15</v>
      </c>
      <c r="L50" s="5" t="n">
        <v>12</v>
      </c>
      <c r="M50" s="4" t="s">
        <v>331</v>
      </c>
      <c r="N50" s="4" t="s">
        <v>42</v>
      </c>
      <c r="O50" s="4" t="s">
        <v>332</v>
      </c>
      <c r="P50" s="6" t="n">
        <f aca="false">SUM(G50:L50)</f>
        <v>82</v>
      </c>
      <c r="Q50" s="7" t="str">
        <f aca="false">IF(P50&gt;=75,"Hot",IF(P50&gt;=50,"Warm","Cold"))</f>
        <v>Hot</v>
      </c>
    </row>
    <row r="51" customFormat="false" ht="35.05" hidden="false" customHeight="false" outlineLevel="0" collapsed="false">
      <c r="A51" s="4" t="s">
        <v>333</v>
      </c>
      <c r="B51" s="4" t="s">
        <v>334</v>
      </c>
      <c r="C51" s="4" t="s">
        <v>323</v>
      </c>
      <c r="D51" s="4" t="s">
        <v>335</v>
      </c>
      <c r="E51" s="4" t="s">
        <v>162</v>
      </c>
      <c r="F51" s="4" t="s">
        <v>336</v>
      </c>
      <c r="G51" s="5" t="n">
        <v>15</v>
      </c>
      <c r="H51" s="5" t="n">
        <v>12</v>
      </c>
      <c r="I51" s="5" t="n">
        <v>9</v>
      </c>
      <c r="J51" s="5" t="n">
        <v>3</v>
      </c>
      <c r="K51" s="5" t="n">
        <v>6</v>
      </c>
      <c r="L51" s="5" t="n">
        <v>5</v>
      </c>
      <c r="M51" s="4" t="s">
        <v>337</v>
      </c>
      <c r="N51" s="4" t="s">
        <v>34</v>
      </c>
      <c r="O51" s="4" t="s">
        <v>338</v>
      </c>
      <c r="P51" s="6" t="n">
        <f aca="false">SUM(G51:L51)</f>
        <v>50</v>
      </c>
      <c r="Q51" s="7" t="str">
        <f aca="false">IF(P51&gt;=75,"Hot",IF(P51&gt;=50,"Warm","Cold"))</f>
        <v>Warm</v>
      </c>
    </row>
    <row r="52" customFormat="false" ht="23.85" hidden="false" customHeight="false" outlineLevel="0" collapsed="false">
      <c r="A52" s="4" t="s">
        <v>339</v>
      </c>
      <c r="B52" s="4" t="s">
        <v>340</v>
      </c>
      <c r="C52" s="4" t="s">
        <v>323</v>
      </c>
      <c r="D52" s="4" t="s">
        <v>161</v>
      </c>
      <c r="E52" s="4" t="s">
        <v>341</v>
      </c>
      <c r="F52" s="4" t="s">
        <v>342</v>
      </c>
      <c r="G52" s="5" t="n">
        <v>12</v>
      </c>
      <c r="H52" s="5" t="n">
        <v>12</v>
      </c>
      <c r="I52" s="5" t="n">
        <v>3</v>
      </c>
      <c r="J52" s="5" t="n">
        <v>4</v>
      </c>
      <c r="K52" s="5" t="n">
        <v>3</v>
      </c>
      <c r="L52" s="5" t="n">
        <v>3</v>
      </c>
      <c r="M52" s="4" t="s">
        <v>343</v>
      </c>
      <c r="N52" s="4" t="s">
        <v>34</v>
      </c>
      <c r="O52" s="4" t="s">
        <v>344</v>
      </c>
      <c r="P52" s="6" t="n">
        <f aca="false">SUM(G52:L52)</f>
        <v>37</v>
      </c>
      <c r="Q52" s="7" t="str">
        <f aca="false">IF(P52&gt;=75,"Hot",IF(P52&gt;=50,"Warm","Cold"))</f>
        <v>Cold</v>
      </c>
    </row>
    <row r="53" customFormat="false" ht="23.85" hidden="false" customHeight="false" outlineLevel="0" collapsed="false">
      <c r="A53" s="4" t="s">
        <v>345</v>
      </c>
      <c r="B53" s="4" t="s">
        <v>346</v>
      </c>
      <c r="C53" s="4" t="s">
        <v>323</v>
      </c>
      <c r="D53" s="4" t="s">
        <v>54</v>
      </c>
      <c r="E53" s="4" t="s">
        <v>98</v>
      </c>
      <c r="F53" s="4" t="s">
        <v>32</v>
      </c>
      <c r="G53" s="5" t="n">
        <v>15</v>
      </c>
      <c r="H53" s="5" t="n">
        <v>15</v>
      </c>
      <c r="I53" s="5" t="n">
        <v>9</v>
      </c>
      <c r="J53" s="5" t="n">
        <v>9</v>
      </c>
      <c r="K53" s="5" t="n">
        <v>5</v>
      </c>
      <c r="L53" s="5" t="n">
        <v>7</v>
      </c>
      <c r="M53" s="4" t="s">
        <v>120</v>
      </c>
      <c r="N53" s="4" t="s">
        <v>42</v>
      </c>
      <c r="O53" s="4" t="s">
        <v>347</v>
      </c>
      <c r="P53" s="6" t="n">
        <f aca="false">SUM(G53:L53)</f>
        <v>60</v>
      </c>
      <c r="Q53" s="7" t="str">
        <f aca="false">IF(P53&gt;=75,"Hot",IF(P53&gt;=50,"Warm","Cold"))</f>
        <v>Warm</v>
      </c>
    </row>
    <row r="54" customFormat="false" ht="35.05" hidden="false" customHeight="false" outlineLevel="0" collapsed="false">
      <c r="A54" s="4" t="s">
        <v>348</v>
      </c>
      <c r="B54" s="4" t="s">
        <v>349</v>
      </c>
      <c r="C54" s="4" t="s">
        <v>350</v>
      </c>
      <c r="D54" s="4" t="s">
        <v>351</v>
      </c>
      <c r="E54" s="4" t="s">
        <v>98</v>
      </c>
      <c r="F54" s="4" t="s">
        <v>352</v>
      </c>
      <c r="G54" s="5" t="n">
        <v>8</v>
      </c>
      <c r="H54" s="5" t="n">
        <v>11</v>
      </c>
      <c r="I54" s="5" t="n">
        <v>9</v>
      </c>
      <c r="J54" s="5" t="n">
        <v>10</v>
      </c>
      <c r="K54" s="5" t="n">
        <v>5</v>
      </c>
      <c r="L54" s="5" t="n">
        <v>5</v>
      </c>
      <c r="M54" s="4" t="s">
        <v>353</v>
      </c>
      <c r="N54" s="4" t="s">
        <v>42</v>
      </c>
      <c r="O54" s="4" t="s">
        <v>354</v>
      </c>
      <c r="P54" s="6" t="n">
        <f aca="false">SUM(G54:L54)</f>
        <v>48</v>
      </c>
      <c r="Q54" s="7" t="str">
        <f aca="false">IF(P54&gt;=75,"Hot",IF(P54&gt;=50,"Warm","Cold"))</f>
        <v>Cold</v>
      </c>
    </row>
    <row r="55" customFormat="false" ht="35.05" hidden="false" customHeight="false" outlineLevel="0" collapsed="false">
      <c r="A55" s="4" t="s">
        <v>355</v>
      </c>
      <c r="B55" s="4" t="s">
        <v>356</v>
      </c>
      <c r="C55" s="4" t="s">
        <v>350</v>
      </c>
      <c r="D55" s="4" t="s">
        <v>357</v>
      </c>
      <c r="E55" s="4" t="s">
        <v>98</v>
      </c>
      <c r="F55" s="4" t="s">
        <v>358</v>
      </c>
      <c r="G55" s="5" t="n">
        <v>19</v>
      </c>
      <c r="H55" s="5" t="n">
        <v>15</v>
      </c>
      <c r="I55" s="5" t="n">
        <v>14</v>
      </c>
      <c r="J55" s="5" t="n">
        <v>8</v>
      </c>
      <c r="K55" s="5" t="n">
        <v>15</v>
      </c>
      <c r="L55" s="5" t="n">
        <v>13</v>
      </c>
      <c r="M55" s="4" t="s">
        <v>359</v>
      </c>
      <c r="N55" s="4" t="s">
        <v>42</v>
      </c>
      <c r="O55" s="4" t="s">
        <v>360</v>
      </c>
      <c r="P55" s="6" t="n">
        <f aca="false">SUM(G55:L55)</f>
        <v>84</v>
      </c>
      <c r="Q55" s="7" t="str">
        <f aca="false">IF(P55&gt;=75,"Hot",IF(P55&gt;=50,"Warm","Cold"))</f>
        <v>Hot</v>
      </c>
    </row>
    <row r="56" customFormat="false" ht="23.85" hidden="false" customHeight="false" outlineLevel="0" collapsed="false">
      <c r="A56" s="4" t="s">
        <v>361</v>
      </c>
      <c r="B56" s="4" t="s">
        <v>362</v>
      </c>
      <c r="C56" s="4" t="s">
        <v>350</v>
      </c>
      <c r="D56" s="4" t="s">
        <v>363</v>
      </c>
      <c r="E56" s="4" t="s">
        <v>48</v>
      </c>
      <c r="F56" s="4" t="s">
        <v>364</v>
      </c>
      <c r="G56" s="5" t="n">
        <v>10</v>
      </c>
      <c r="H56" s="5" t="n">
        <v>11</v>
      </c>
      <c r="I56" s="5" t="n">
        <v>8</v>
      </c>
      <c r="J56" s="5" t="n">
        <v>4</v>
      </c>
      <c r="K56" s="5" t="n">
        <v>7</v>
      </c>
      <c r="L56" s="5" t="n">
        <v>5</v>
      </c>
      <c r="M56" s="4" t="s">
        <v>120</v>
      </c>
      <c r="N56" s="4" t="s">
        <v>42</v>
      </c>
      <c r="O56" s="4" t="s">
        <v>365</v>
      </c>
      <c r="P56" s="6" t="n">
        <f aca="false">SUM(G56:L56)</f>
        <v>45</v>
      </c>
      <c r="Q56" s="7" t="str">
        <f aca="false">IF(P56&gt;=75,"Hot",IF(P56&gt;=50,"Warm","Cold"))</f>
        <v>Cold</v>
      </c>
    </row>
    <row r="57" customFormat="false" ht="23.85" hidden="false" customHeight="false" outlineLevel="0" collapsed="false">
      <c r="A57" s="4" t="s">
        <v>366</v>
      </c>
      <c r="B57" s="4" t="s">
        <v>367</v>
      </c>
      <c r="C57" s="4" t="s">
        <v>350</v>
      </c>
      <c r="D57" s="4" t="s">
        <v>368</v>
      </c>
      <c r="E57" s="4" t="s">
        <v>23</v>
      </c>
      <c r="F57" s="4" t="s">
        <v>369</v>
      </c>
      <c r="G57" s="5" t="n">
        <v>11</v>
      </c>
      <c r="H57" s="5" t="n">
        <v>12</v>
      </c>
      <c r="I57" s="5" t="n">
        <v>9</v>
      </c>
      <c r="J57" s="5" t="n">
        <v>9</v>
      </c>
      <c r="K57" s="5" t="n">
        <v>4</v>
      </c>
      <c r="L57" s="5" t="n">
        <v>5</v>
      </c>
      <c r="M57" s="4" t="s">
        <v>370</v>
      </c>
      <c r="N57" s="4" t="s">
        <v>42</v>
      </c>
      <c r="O57" s="4" t="s">
        <v>371</v>
      </c>
      <c r="P57" s="6" t="n">
        <f aca="false">SUM(G57:L57)</f>
        <v>50</v>
      </c>
      <c r="Q57" s="7" t="str">
        <f aca="false">IF(P57&gt;=75,"Hot",IF(P57&gt;=50,"Warm","Cold"))</f>
        <v>Warm</v>
      </c>
    </row>
    <row r="58" customFormat="false" ht="23.85" hidden="false" customHeight="false" outlineLevel="0" collapsed="false">
      <c r="A58" s="4" t="s">
        <v>372</v>
      </c>
      <c r="B58" s="4" t="s">
        <v>373</v>
      </c>
      <c r="C58" s="4" t="s">
        <v>350</v>
      </c>
      <c r="D58" s="4" t="s">
        <v>374</v>
      </c>
      <c r="E58" s="4" t="s">
        <v>98</v>
      </c>
      <c r="F58" s="4" t="s">
        <v>375</v>
      </c>
      <c r="G58" s="5" t="n">
        <v>11</v>
      </c>
      <c r="H58" s="5" t="n">
        <v>11</v>
      </c>
      <c r="I58" s="5" t="n">
        <v>9</v>
      </c>
      <c r="J58" s="5" t="n">
        <v>7</v>
      </c>
      <c r="K58" s="5" t="n">
        <v>5</v>
      </c>
      <c r="L58" s="5" t="n">
        <v>5</v>
      </c>
      <c r="M58" s="4" t="s">
        <v>376</v>
      </c>
      <c r="N58" s="4" t="s">
        <v>34</v>
      </c>
      <c r="O58" s="4" t="s">
        <v>377</v>
      </c>
      <c r="P58" s="6" t="n">
        <f aca="false">SUM(G58:L58)</f>
        <v>48</v>
      </c>
      <c r="Q58" s="7" t="str">
        <f aca="false">IF(P58&gt;=75,"Hot",IF(P58&gt;=50,"Warm","Cold"))</f>
        <v>Cold</v>
      </c>
    </row>
    <row r="59" customFormat="false" ht="35.05" hidden="false" customHeight="false" outlineLevel="0" collapsed="false">
      <c r="A59" s="4" t="s">
        <v>378</v>
      </c>
      <c r="B59" s="4" t="s">
        <v>379</v>
      </c>
      <c r="C59" s="4" t="s">
        <v>380</v>
      </c>
      <c r="D59" s="4" t="s">
        <v>381</v>
      </c>
      <c r="E59" s="4" t="s">
        <v>209</v>
      </c>
      <c r="F59" s="4" t="s">
        <v>382</v>
      </c>
      <c r="G59" s="5" t="n">
        <v>11</v>
      </c>
      <c r="H59" s="5" t="n">
        <v>12</v>
      </c>
      <c r="I59" s="5" t="n">
        <v>10</v>
      </c>
      <c r="J59" s="5" t="n">
        <v>12</v>
      </c>
      <c r="K59" s="5" t="n">
        <v>9</v>
      </c>
      <c r="L59" s="5" t="n">
        <v>8</v>
      </c>
      <c r="M59" s="4" t="s">
        <v>383</v>
      </c>
      <c r="N59" s="4" t="s">
        <v>42</v>
      </c>
      <c r="O59" s="4" t="s">
        <v>384</v>
      </c>
      <c r="P59" s="6" t="n">
        <f aca="false">SUM(G59:L59)</f>
        <v>62</v>
      </c>
      <c r="Q59" s="7" t="str">
        <f aca="false">IF(P59&gt;=75,"Hot",IF(P59&gt;=50,"Warm","Cold"))</f>
        <v>Warm</v>
      </c>
    </row>
  </sheetData>
  <mergeCells count="2">
    <mergeCell ref="A1:O1"/>
    <mergeCell ref="A2:O2"/>
  </mergeCells>
  <conditionalFormatting sqref="Q5:Q59">
    <cfRule type="cellIs" priority="2" operator="equal" aboveAverage="0" equalAverage="0" bottom="0" percent="0" rank="0" text="" dxfId="0">
      <formula>"Hot"</formula>
    </cfRule>
    <cfRule type="cellIs" priority="3" operator="equal" aboveAverage="0" equalAverage="0" bottom="0" percent="0" rank="0" text="" dxfId="1">
      <formula>"Warm"</formula>
    </cfRule>
    <cfRule type="cellIs" priority="4" operator="equal" aboveAverage="0" equalAverage="0" bottom="0" percent="0" rank="0" text="" dxfId="2">
      <formula>"Cold"</formula>
    </cfRule>
  </conditionalFormatting>
  <conditionalFormatting sqref="P5:P59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385</v>
      </c>
      <c r="B1" s="1"/>
      <c r="C1" s="1"/>
      <c r="D1" s="1"/>
    </row>
    <row r="3" customFormat="false" ht="15" hidden="false" customHeight="false" outlineLevel="0" collapsed="false">
      <c r="A3" s="8" t="s">
        <v>386</v>
      </c>
      <c r="B3" s="8" t="s">
        <v>387</v>
      </c>
    </row>
    <row r="4" customFormat="false" ht="15" hidden="false" customHeight="false" outlineLevel="0" collapsed="false">
      <c r="A4" s="9" t="s">
        <v>388</v>
      </c>
      <c r="B4" s="10" t="n">
        <f aca="false">COUNTA('Lead Scoring Master'!B5:B59)</f>
        <v>55</v>
      </c>
    </row>
    <row r="5" customFormat="false" ht="15" hidden="false" customHeight="false" outlineLevel="0" collapsed="false">
      <c r="A5" s="9" t="s">
        <v>389</v>
      </c>
      <c r="B5" s="10" t="n">
        <f aca="false">COUNTIF('Lead Scoring Master'!Q5:Q59,"Hot")</f>
        <v>6</v>
      </c>
    </row>
    <row r="6" customFormat="false" ht="15" hidden="false" customHeight="false" outlineLevel="0" collapsed="false">
      <c r="A6" s="9" t="s">
        <v>390</v>
      </c>
      <c r="B6" s="10" t="n">
        <f aca="false">COUNTIF('Lead Scoring Master'!Q5:Q59,"Warm")</f>
        <v>28</v>
      </c>
    </row>
    <row r="7" customFormat="false" ht="15" hidden="false" customHeight="false" outlineLevel="0" collapsed="false">
      <c r="A7" s="9" t="s">
        <v>391</v>
      </c>
      <c r="B7" s="10" t="n">
        <f aca="false">COUNTIF('Lead Scoring Master'!Q5:Q59,"Cold")</f>
        <v>21</v>
      </c>
    </row>
    <row r="8" customFormat="false" ht="15" hidden="false" customHeight="false" outlineLevel="0" collapsed="false">
      <c r="A8" s="9" t="s">
        <v>392</v>
      </c>
      <c r="B8" s="11" t="n">
        <f aca="false">AVERAGE('Lead Scoring Master'!P5:P59)</f>
        <v>55.5818181818182</v>
      </c>
    </row>
    <row r="9" customFormat="false" ht="15" hidden="false" customHeight="false" outlineLevel="0" collapsed="false">
      <c r="A9" s="9" t="s">
        <v>393</v>
      </c>
      <c r="B9" s="10" t="n">
        <v>10</v>
      </c>
    </row>
    <row r="11" customFormat="false" ht="35.05" hidden="false" customHeight="true" outlineLevel="0" collapsed="false">
      <c r="A11" s="12" t="s">
        <v>394</v>
      </c>
      <c r="B11" s="12"/>
      <c r="C11" s="12"/>
      <c r="D11" s="12"/>
      <c r="E11" s="12"/>
    </row>
  </sheetData>
  <mergeCells count="2">
    <mergeCell ref="A1:D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395</v>
      </c>
      <c r="B1" s="1"/>
      <c r="C1" s="1"/>
      <c r="D1" s="1"/>
      <c r="E1" s="1"/>
      <c r="F1" s="1"/>
      <c r="G1" s="1"/>
    </row>
    <row r="3" customFormat="false" ht="23.85" hidden="false" customHeight="false" outlineLevel="0" collapsed="false">
      <c r="A3" s="3" t="s">
        <v>396</v>
      </c>
      <c r="B3" s="3" t="s">
        <v>3</v>
      </c>
      <c r="C3" s="3" t="s">
        <v>7</v>
      </c>
      <c r="D3" s="3" t="s">
        <v>397</v>
      </c>
      <c r="E3" s="3" t="s">
        <v>18</v>
      </c>
      <c r="F3" s="3" t="s">
        <v>14</v>
      </c>
      <c r="G3" s="3" t="s">
        <v>15</v>
      </c>
    </row>
    <row r="4" customFormat="false" ht="23.85" hidden="false" customHeight="false" outlineLevel="0" collapsed="false">
      <c r="A4" s="13" t="n">
        <v>1</v>
      </c>
      <c r="B4" s="14" t="s">
        <v>298</v>
      </c>
      <c r="C4" s="14" t="s">
        <v>301</v>
      </c>
      <c r="D4" s="13" t="n">
        <v>92</v>
      </c>
      <c r="E4" s="13" t="s">
        <v>398</v>
      </c>
      <c r="F4" s="14" t="s">
        <v>302</v>
      </c>
      <c r="G4" s="13" t="s">
        <v>42</v>
      </c>
    </row>
    <row r="5" customFormat="false" ht="35.05" hidden="false" customHeight="false" outlineLevel="0" collapsed="false">
      <c r="A5" s="13" t="n">
        <v>2</v>
      </c>
      <c r="B5" s="14" t="s">
        <v>143</v>
      </c>
      <c r="C5" s="14" t="s">
        <v>147</v>
      </c>
      <c r="D5" s="13" t="n">
        <v>90</v>
      </c>
      <c r="E5" s="13" t="s">
        <v>398</v>
      </c>
      <c r="F5" s="14" t="s">
        <v>148</v>
      </c>
      <c r="G5" s="13" t="s">
        <v>42</v>
      </c>
    </row>
    <row r="6" customFormat="false" ht="23.85" hidden="false" customHeight="false" outlineLevel="0" collapsed="false">
      <c r="A6" s="13" t="n">
        <v>3</v>
      </c>
      <c r="B6" s="14" t="s">
        <v>356</v>
      </c>
      <c r="C6" s="14" t="s">
        <v>358</v>
      </c>
      <c r="D6" s="13" t="n">
        <v>84</v>
      </c>
      <c r="E6" s="13" t="s">
        <v>398</v>
      </c>
      <c r="F6" s="14" t="s">
        <v>359</v>
      </c>
      <c r="G6" s="13" t="s">
        <v>42</v>
      </c>
    </row>
    <row r="7" customFormat="false" ht="23.85" hidden="false" customHeight="false" outlineLevel="0" collapsed="false">
      <c r="A7" s="13" t="n">
        <v>4</v>
      </c>
      <c r="B7" s="14" t="s">
        <v>20</v>
      </c>
      <c r="C7" s="14" t="s">
        <v>24</v>
      </c>
      <c r="D7" s="13" t="n">
        <v>83</v>
      </c>
      <c r="E7" s="13" t="s">
        <v>398</v>
      </c>
      <c r="F7" s="14" t="s">
        <v>25</v>
      </c>
      <c r="G7" s="13" t="s">
        <v>26</v>
      </c>
    </row>
    <row r="8" customFormat="false" ht="23.85" hidden="false" customHeight="false" outlineLevel="0" collapsed="false">
      <c r="A8" s="13" t="n">
        <v>5</v>
      </c>
      <c r="B8" s="14" t="s">
        <v>328</v>
      </c>
      <c r="C8" s="14" t="s">
        <v>330</v>
      </c>
      <c r="D8" s="13" t="n">
        <v>82</v>
      </c>
      <c r="E8" s="13" t="s">
        <v>398</v>
      </c>
      <c r="F8" s="14" t="s">
        <v>331</v>
      </c>
      <c r="G8" s="13" t="s">
        <v>42</v>
      </c>
    </row>
    <row r="9" customFormat="false" ht="15" hidden="false" customHeight="false" outlineLevel="0" collapsed="false">
      <c r="A9" s="13" t="n">
        <v>6</v>
      </c>
      <c r="B9" s="14" t="s">
        <v>290</v>
      </c>
      <c r="C9" s="14" t="s">
        <v>294</v>
      </c>
      <c r="D9" s="13" t="n">
        <v>80</v>
      </c>
      <c r="E9" s="13" t="s">
        <v>398</v>
      </c>
      <c r="F9" s="14" t="s">
        <v>295</v>
      </c>
      <c r="G9" s="13" t="s">
        <v>42</v>
      </c>
    </row>
    <row r="10" customFormat="false" ht="23.85" hidden="false" customHeight="false" outlineLevel="0" collapsed="false">
      <c r="A10" s="13" t="n">
        <v>7</v>
      </c>
      <c r="B10" s="14" t="s">
        <v>206</v>
      </c>
      <c r="C10" s="14" t="s">
        <v>210</v>
      </c>
      <c r="D10" s="13" t="n">
        <v>74</v>
      </c>
      <c r="E10" s="13" t="s">
        <v>399</v>
      </c>
      <c r="F10" s="14" t="s">
        <v>211</v>
      </c>
      <c r="G10" s="13" t="s">
        <v>42</v>
      </c>
    </row>
    <row r="11" customFormat="false" ht="23.85" hidden="false" customHeight="false" outlineLevel="0" collapsed="false">
      <c r="A11" s="13" t="n">
        <v>8</v>
      </c>
      <c r="B11" s="14" t="s">
        <v>221</v>
      </c>
      <c r="C11" s="14" t="s">
        <v>224</v>
      </c>
      <c r="D11" s="13" t="n">
        <v>74</v>
      </c>
      <c r="E11" s="13" t="s">
        <v>399</v>
      </c>
      <c r="F11" s="14" t="s">
        <v>225</v>
      </c>
      <c r="G11" s="13" t="s">
        <v>42</v>
      </c>
    </row>
    <row r="12" customFormat="false" ht="15" hidden="false" customHeight="false" outlineLevel="0" collapsed="false">
      <c r="A12" s="13" t="n">
        <v>9</v>
      </c>
      <c r="B12" s="14" t="s">
        <v>311</v>
      </c>
      <c r="C12" s="14" t="s">
        <v>177</v>
      </c>
      <c r="D12" s="13" t="n">
        <v>73</v>
      </c>
      <c r="E12" s="13" t="s">
        <v>399</v>
      </c>
      <c r="F12" s="14" t="s">
        <v>313</v>
      </c>
      <c r="G12" s="13" t="s">
        <v>26</v>
      </c>
    </row>
    <row r="13" customFormat="false" ht="15" hidden="false" customHeight="false" outlineLevel="0" collapsed="false">
      <c r="A13" s="13" t="n">
        <v>10</v>
      </c>
      <c r="B13" s="14" t="s">
        <v>322</v>
      </c>
      <c r="C13" s="14" t="s">
        <v>105</v>
      </c>
      <c r="D13" s="13" t="n">
        <v>71</v>
      </c>
      <c r="E13" s="13" t="s">
        <v>399</v>
      </c>
      <c r="F13" s="14" t="s">
        <v>325</v>
      </c>
      <c r="G13" s="13" t="s">
        <v>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2026-07-05T15:21:39Z</dcterms:created>
  <dc:creator>openpyxl</dc:creator>
  <dc:description/>
  <dc:language>en-US</dc:language>
  <cp:lastModifiedBy/>
  <dcterms:modified xsi:type="dcterms:W3CDTF">2026-07-05T15:21:39Z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